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0eaa9d1bd926f1/Desktop/"/>
    </mc:Choice>
  </mc:AlternateContent>
  <xr:revisionPtr revIDLastSave="281" documentId="8_{1AF3BCBB-F7E4-4A10-AA2F-9E0F54D86962}" xr6:coauthVersionLast="47" xr6:coauthVersionMax="47" xr10:uidLastSave="{0CC55DAB-1F92-4CAB-A1D1-E1E97617DB04}"/>
  <bookViews>
    <workbookView xWindow="-110" yWindow="-110" windowWidth="19420" windowHeight="10300" activeTab="2" xr2:uid="{F6B893BC-CAED-4851-922A-32BAAB91F24E}"/>
  </bookViews>
  <sheets>
    <sheet name="comparison" sheetId="8" r:id="rId1"/>
    <sheet name="SUMMARY" sheetId="2" r:id="rId2"/>
    <sheet name="seeds" sheetId="3" r:id="rId3"/>
    <sheet name="insecticides" sheetId="4" r:id="rId4"/>
    <sheet name="workers" sheetId="7" r:id="rId5"/>
    <sheet name="logistics" sheetId="5" r:id="rId6"/>
    <sheet name="sol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  <c r="L18" i="6"/>
  <c r="K13" i="3"/>
  <c r="K4" i="2" s="1"/>
  <c r="K10" i="3"/>
  <c r="H4" i="2" s="1"/>
  <c r="K9" i="3"/>
  <c r="G4" i="2" s="1"/>
  <c r="K8" i="3"/>
  <c r="K13" i="6"/>
  <c r="K12" i="2" s="1"/>
  <c r="K14" i="2" s="1"/>
  <c r="J10" i="5"/>
  <c r="H7" i="2" s="1"/>
  <c r="J9" i="5"/>
  <c r="G7" i="2" s="1"/>
  <c r="J8" i="5"/>
  <c r="F7" i="2" s="1"/>
  <c r="J13" i="5"/>
  <c r="K7" i="2" s="1"/>
  <c r="G13" i="7"/>
  <c r="K6" i="2" s="1"/>
  <c r="G10" i="7"/>
  <c r="H6" i="2" s="1"/>
  <c r="G9" i="7"/>
  <c r="G6" i="2" s="1"/>
  <c r="G8" i="7"/>
  <c r="F6" i="2" s="1"/>
  <c r="K13" i="4"/>
  <c r="K5" i="2" s="1"/>
  <c r="K10" i="4"/>
  <c r="H5" i="2" s="1"/>
  <c r="K9" i="4"/>
  <c r="K8" i="4"/>
  <c r="K5" i="4"/>
  <c r="K4" i="4"/>
  <c r="G15" i="7"/>
  <c r="M6" i="2" s="1"/>
  <c r="G14" i="7"/>
  <c r="L6" i="2" s="1"/>
  <c r="G12" i="7"/>
  <c r="J6" i="2" s="1"/>
  <c r="G11" i="7"/>
  <c r="I6" i="2" s="1"/>
  <c r="G7" i="7"/>
  <c r="E6" i="2" s="1"/>
  <c r="G6" i="7"/>
  <c r="D6" i="2" s="1"/>
  <c r="G5" i="7"/>
  <c r="C6" i="2" s="1"/>
  <c r="G4" i="7"/>
  <c r="B6" i="2" s="1"/>
  <c r="H4" i="4"/>
  <c r="J15" i="5"/>
  <c r="M7" i="2" s="1"/>
  <c r="J14" i="5"/>
  <c r="L7" i="2" s="1"/>
  <c r="J12" i="5"/>
  <c r="J7" i="2" s="1"/>
  <c r="J11" i="5"/>
  <c r="I7" i="2" s="1"/>
  <c r="J7" i="5"/>
  <c r="E7" i="2" s="1"/>
  <c r="J6" i="5"/>
  <c r="D7" i="2" s="1"/>
  <c r="J5" i="5"/>
  <c r="C7" i="2" s="1"/>
  <c r="J4" i="5"/>
  <c r="B7" i="2" s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4" i="5"/>
  <c r="K14" i="6"/>
  <c r="L12" i="2" s="1"/>
  <c r="L14" i="2" s="1"/>
  <c r="K12" i="6"/>
  <c r="J12" i="2" s="1"/>
  <c r="J14" i="2" s="1"/>
  <c r="K11" i="6"/>
  <c r="I12" i="2" s="1"/>
  <c r="I14" i="2" s="1"/>
  <c r="K7" i="6"/>
  <c r="E12" i="2" s="1"/>
  <c r="E14" i="2" s="1"/>
  <c r="K6" i="6"/>
  <c r="D12" i="2" s="1"/>
  <c r="D14" i="2" s="1"/>
  <c r="K5" i="6"/>
  <c r="C12" i="2" s="1"/>
  <c r="C14" i="2" s="1"/>
  <c r="H5" i="6"/>
  <c r="H6" i="6"/>
  <c r="K4" i="6" s="1"/>
  <c r="H7" i="6"/>
  <c r="K9" i="6" s="1"/>
  <c r="G12" i="2" s="1"/>
  <c r="G14" i="2" s="1"/>
  <c r="H8" i="6"/>
  <c r="H9" i="6"/>
  <c r="H10" i="6"/>
  <c r="K10" i="6" s="1"/>
  <c r="H12" i="2" s="1"/>
  <c r="H14" i="2" s="1"/>
  <c r="H11" i="6"/>
  <c r="K8" i="6" s="1"/>
  <c r="H12" i="6"/>
  <c r="K15" i="6" s="1"/>
  <c r="M12" i="2" s="1"/>
  <c r="M14" i="2" s="1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4" i="6"/>
  <c r="K15" i="4"/>
  <c r="M5" i="2" s="1"/>
  <c r="K14" i="4"/>
  <c r="L5" i="2" s="1"/>
  <c r="K12" i="4"/>
  <c r="J5" i="2" s="1"/>
  <c r="K11" i="4"/>
  <c r="I5" i="2" s="1"/>
  <c r="F5" i="2"/>
  <c r="K7" i="4"/>
  <c r="E5" i="2" s="1"/>
  <c r="G5" i="2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G5" i="4"/>
  <c r="G6" i="4"/>
  <c r="K6" i="4" s="1"/>
  <c r="D5" i="2" s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4" i="4"/>
  <c r="H4" i="3"/>
  <c r="G5" i="3"/>
  <c r="G6" i="3"/>
  <c r="G7" i="3"/>
  <c r="K6" i="3" s="1"/>
  <c r="D4" i="2" s="1"/>
  <c r="G8" i="3"/>
  <c r="G9" i="3"/>
  <c r="G10" i="3"/>
  <c r="K14" i="3" s="1"/>
  <c r="L4" i="2" s="1"/>
  <c r="G11" i="3"/>
  <c r="G12" i="3"/>
  <c r="G13" i="3"/>
  <c r="K11" i="3" s="1"/>
  <c r="I4" i="2" s="1"/>
  <c r="G14" i="3"/>
  <c r="K12" i="3" s="1"/>
  <c r="J4" i="2" s="1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4" i="3"/>
  <c r="K4" i="3" s="1"/>
  <c r="B4" i="2" s="1"/>
  <c r="K5" i="3" l="1"/>
  <c r="C4" i="2" s="1"/>
  <c r="C8" i="2" s="1"/>
  <c r="F4" i="2"/>
  <c r="F8" i="2" s="1"/>
  <c r="C5" i="2"/>
  <c r="B5" i="2"/>
  <c r="B8" i="2" s="1"/>
  <c r="L8" i="2"/>
  <c r="K15" i="3"/>
  <c r="M4" i="2" s="1"/>
  <c r="M8" i="2" s="1"/>
  <c r="F12" i="2"/>
  <c r="F14" i="2" s="1"/>
  <c r="B12" i="2"/>
  <c r="B14" i="2" s="1"/>
  <c r="H8" i="2"/>
  <c r="K8" i="2"/>
  <c r="I8" i="2"/>
  <c r="D8" i="2"/>
  <c r="J8" i="2"/>
  <c r="G8" i="2"/>
  <c r="E4" i="2"/>
  <c r="E8" i="2" s="1"/>
  <c r="J17" i="8" l="1"/>
  <c r="K17" i="8" s="1"/>
  <c r="K19" i="6"/>
  <c r="L19" i="6" s="1"/>
  <c r="B18" i="2"/>
  <c r="K20" i="6"/>
  <c r="K17" i="6"/>
  <c r="K18" i="6"/>
  <c r="J19" i="8"/>
  <c r="J18" i="8"/>
  <c r="K18" i="8" s="1"/>
  <c r="B19" i="8"/>
  <c r="B18" i="8"/>
  <c r="C18" i="8" s="1"/>
  <c r="B17" i="8"/>
  <c r="C17" i="8" s="1"/>
  <c r="B17" i="2"/>
  <c r="B19" i="2" l="1"/>
</calcChain>
</file>

<file path=xl/sharedStrings.xml><?xml version="1.0" encoding="utf-8"?>
<sst xmlns="http://schemas.openxmlformats.org/spreadsheetml/2006/main" count="250" uniqueCount="97">
  <si>
    <t>https://www.seminte1.eu/seminte-rosii</t>
  </si>
  <si>
    <t>ortiva top</t>
  </si>
  <si>
    <t>https://www.botanistii.ro/blog/calendarul-tratamentelor-tomate/</t>
  </si>
  <si>
    <t xml:space="preserve">amistar </t>
  </si>
  <si>
    <t>JAN</t>
  </si>
  <si>
    <t>FEB</t>
  </si>
  <si>
    <t>MAR</t>
  </si>
  <si>
    <t>APR</t>
  </si>
  <si>
    <t>AUG</t>
  </si>
  <si>
    <t>SEPT</t>
  </si>
  <si>
    <t>NOV</t>
  </si>
  <si>
    <t>DEC</t>
  </si>
  <si>
    <t xml:space="preserve">maximum: </t>
  </si>
  <si>
    <t xml:space="preserve">minimum: </t>
  </si>
  <si>
    <t>SEEDS  2026</t>
  </si>
  <si>
    <t>month</t>
  </si>
  <si>
    <t>produce</t>
  </si>
  <si>
    <t xml:space="preserve">bought from </t>
  </si>
  <si>
    <t>nr of packages</t>
  </si>
  <si>
    <t>seeds/ package</t>
  </si>
  <si>
    <t>price/ package</t>
  </si>
  <si>
    <t>final PRICE</t>
  </si>
  <si>
    <t>price/ seed</t>
  </si>
  <si>
    <t>monthy expenses on seeds</t>
  </si>
  <si>
    <t>MAY</t>
  </si>
  <si>
    <t xml:space="preserve">tomato cherry </t>
  </si>
  <si>
    <t>salad aletta</t>
  </si>
  <si>
    <t xml:space="preserve">carrot </t>
  </si>
  <si>
    <t>cucumber</t>
  </si>
  <si>
    <t xml:space="preserve">onion </t>
  </si>
  <si>
    <t xml:space="preserve">tomato  </t>
  </si>
  <si>
    <t>OCT</t>
  </si>
  <si>
    <t>JUNE</t>
  </si>
  <si>
    <t>JULY</t>
  </si>
  <si>
    <t xml:space="preserve">salad </t>
  </si>
  <si>
    <t>spinach</t>
  </si>
  <si>
    <t xml:space="preserve">tomato </t>
  </si>
  <si>
    <t>INSECTICIDES 2026</t>
  </si>
  <si>
    <t>name</t>
  </si>
  <si>
    <t xml:space="preserve">quantity </t>
  </si>
  <si>
    <t>liters/ product</t>
  </si>
  <si>
    <t>price/ product</t>
  </si>
  <si>
    <t xml:space="preserve">final PRICE </t>
  </si>
  <si>
    <t>price/ liter</t>
  </si>
  <si>
    <t>monthy expenses on insecticides</t>
  </si>
  <si>
    <t>Trica Expert</t>
  </si>
  <si>
    <t xml:space="preserve">Vertimec </t>
  </si>
  <si>
    <t>Laser 240</t>
  </si>
  <si>
    <t>Affirm</t>
  </si>
  <si>
    <t>EXPENSES ON SEASONAL WORKERS 2026</t>
  </si>
  <si>
    <t>day</t>
  </si>
  <si>
    <t xml:space="preserve">nr of workers  </t>
  </si>
  <si>
    <t xml:space="preserve">total paid </t>
  </si>
  <si>
    <t xml:space="preserve">monthly expenses on workers </t>
  </si>
  <si>
    <t>PRODUCE TRANSPORTATION 2026</t>
  </si>
  <si>
    <t>monthly expenses on tranportation</t>
  </si>
  <si>
    <t xml:space="preserve">month </t>
  </si>
  <si>
    <t>gas RON</t>
  </si>
  <si>
    <t xml:space="preserve">produce name </t>
  </si>
  <si>
    <t>produce taken kg/sack/box/gathering</t>
  </si>
  <si>
    <t xml:space="preserve">unsold produce </t>
  </si>
  <si>
    <t>raddish</t>
  </si>
  <si>
    <t>salad</t>
  </si>
  <si>
    <t>raddush</t>
  </si>
  <si>
    <t>beans</t>
  </si>
  <si>
    <t>tomato</t>
  </si>
  <si>
    <t>INCOME FROM PRODUCE SOLD 2026</t>
  </si>
  <si>
    <t xml:space="preserve">monthy sold products </t>
  </si>
  <si>
    <t>onion</t>
  </si>
  <si>
    <t>sold kg/sack/box/gathering</t>
  </si>
  <si>
    <t>price/kg</t>
  </si>
  <si>
    <t>price/gathering</t>
  </si>
  <si>
    <t>price/sack-box</t>
  </si>
  <si>
    <t xml:space="preserve">total income: </t>
  </si>
  <si>
    <t>monthly average:</t>
  </si>
  <si>
    <t>percentage sold  %</t>
  </si>
  <si>
    <t xml:space="preserve">average monthly expense: </t>
  </si>
  <si>
    <t xml:space="preserve">lowest monthly expense: </t>
  </si>
  <si>
    <t xml:space="preserve">highest monthly expense: </t>
  </si>
  <si>
    <t>EXPENSES</t>
  </si>
  <si>
    <t>INCOME</t>
  </si>
  <si>
    <t>seeds</t>
  </si>
  <si>
    <t>insecticides</t>
  </si>
  <si>
    <t>workers</t>
  </si>
  <si>
    <t>gas</t>
  </si>
  <si>
    <t xml:space="preserve">total expenses/ month: </t>
  </si>
  <si>
    <t xml:space="preserve">from selling: </t>
  </si>
  <si>
    <t xml:space="preserve">project: </t>
  </si>
  <si>
    <t xml:space="preserve">total income/ month: </t>
  </si>
  <si>
    <t xml:space="preserve">summary: </t>
  </si>
  <si>
    <t xml:space="preserve">total expenses in 2026: </t>
  </si>
  <si>
    <t xml:space="preserve">total income in 2026: </t>
  </si>
  <si>
    <t xml:space="preserve">profit in agriculture 2026: </t>
  </si>
  <si>
    <t xml:space="preserve">highest monthly income: </t>
  </si>
  <si>
    <t xml:space="preserve">lowest monthly income: </t>
  </si>
  <si>
    <t xml:space="preserve">average monthly income: </t>
  </si>
  <si>
    <t>SUMMARY IN AGRICULTURAL WORK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</si>
</sst>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ON]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3"/>
      <color theme="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DashDotDot">
        <color auto="1"/>
      </left>
      <right style="mediumDashDotDot">
        <color auto="1"/>
      </right>
      <top/>
      <bottom/>
      <diagonal/>
    </border>
    <border>
      <left style="mediumDashDotDot">
        <color auto="1"/>
      </left>
      <right style="mediumDashDotDot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1" fillId="0" borderId="0" xfId="0" applyFont="1"/>
    <xf numFmtId="0" fontId="6" fillId="2" borderId="1" xfId="0" applyFont="1" applyFill="1" applyBorder="1"/>
    <xf numFmtId="0" fontId="1" fillId="3" borderId="1" xfId="0" applyFont="1" applyFill="1" applyBorder="1"/>
    <xf numFmtId="0" fontId="3" fillId="0" borderId="1" xfId="1" applyBorder="1"/>
    <xf numFmtId="0" fontId="0" fillId="0" borderId="1" xfId="0" applyBorder="1"/>
    <xf numFmtId="164" fontId="1" fillId="3" borderId="1" xfId="0" applyNumberFormat="1" applyFont="1" applyFill="1" applyBorder="1"/>
    <xf numFmtId="164" fontId="0" fillId="0" borderId="1" xfId="0" applyNumberFormat="1" applyBorder="1"/>
    <xf numFmtId="0" fontId="0" fillId="3" borderId="1" xfId="0" applyFill="1" applyBorder="1"/>
    <xf numFmtId="0" fontId="1" fillId="4" borderId="2" xfId="0" applyFont="1" applyFill="1" applyBorder="1"/>
    <xf numFmtId="164" fontId="0" fillId="0" borderId="2" xfId="0" applyNumberFormat="1" applyBorder="1"/>
    <xf numFmtId="0" fontId="1" fillId="4" borderId="3" xfId="0" applyFont="1" applyFill="1" applyBorder="1"/>
    <xf numFmtId="164" fontId="0" fillId="0" borderId="3" xfId="0" applyNumberFormat="1" applyBorder="1"/>
    <xf numFmtId="49" fontId="0" fillId="0" borderId="0" xfId="0" applyNumberFormat="1"/>
    <xf numFmtId="49" fontId="0" fillId="0" borderId="1" xfId="0" applyNumberFormat="1" applyBorder="1"/>
    <xf numFmtId="0" fontId="1" fillId="4" borderId="0" xfId="0" applyFont="1" applyFill="1"/>
    <xf numFmtId="0" fontId="6" fillId="5" borderId="0" xfId="0" applyFont="1" applyFill="1"/>
    <xf numFmtId="164" fontId="1" fillId="0" borderId="0" xfId="0" applyNumberFormat="1" applyFont="1"/>
    <xf numFmtId="0" fontId="8" fillId="6" borderId="0" xfId="0" applyFont="1" applyFill="1"/>
    <xf numFmtId="0" fontId="7" fillId="6" borderId="0" xfId="0" applyFont="1" applyFill="1"/>
    <xf numFmtId="49" fontId="6" fillId="2" borderId="1" xfId="0" applyNumberFormat="1" applyFont="1" applyFill="1" applyBorder="1"/>
    <xf numFmtId="164" fontId="1" fillId="0" borderId="1" xfId="0" applyNumberFormat="1" applyFont="1" applyBorder="1"/>
    <xf numFmtId="0" fontId="7" fillId="2" borderId="1" xfId="0" applyFont="1" applyFill="1" applyBorder="1"/>
    <xf numFmtId="0" fontId="1" fillId="0" borderId="1" xfId="0" applyFont="1" applyBorder="1"/>
    <xf numFmtId="2" fontId="0" fillId="0" borderId="1" xfId="0" applyNumberFormat="1" applyBorder="1"/>
    <xf numFmtId="49" fontId="1" fillId="3" borderId="1" xfId="0" applyNumberFormat="1" applyFont="1" applyFill="1" applyBorder="1"/>
    <xf numFmtId="49" fontId="1" fillId="0" borderId="1" xfId="0" applyNumberFormat="1" applyFont="1" applyBorder="1"/>
    <xf numFmtId="49" fontId="1" fillId="0" borderId="0" xfId="0" applyNumberFormat="1" applyFont="1"/>
    <xf numFmtId="0" fontId="7" fillId="7" borderId="1" xfId="0" applyFont="1" applyFill="1" applyBorder="1"/>
    <xf numFmtId="164" fontId="1" fillId="8" borderId="1" xfId="0" applyNumberFormat="1" applyFont="1" applyFill="1" applyBorder="1"/>
    <xf numFmtId="0" fontId="8" fillId="6" borderId="4" xfId="0" applyFont="1" applyFill="1" applyBorder="1"/>
    <xf numFmtId="0" fontId="7" fillId="7" borderId="5" xfId="0" applyFont="1" applyFill="1" applyBorder="1"/>
    <xf numFmtId="164" fontId="1" fillId="8" borderId="5" xfId="0" applyNumberFormat="1" applyFont="1" applyFill="1" applyBorder="1"/>
    <xf numFmtId="0" fontId="8" fillId="6" borderId="1" xfId="0" applyFont="1" applyFill="1" applyBorder="1"/>
    <xf numFmtId="0" fontId="0" fillId="0" borderId="6" xfId="0" applyBorder="1"/>
    <xf numFmtId="0" fontId="0" fillId="0" borderId="7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expenses </a:t>
            </a: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SUMMARY!#REF!</c:f>
              <c:strCache>
                <c:ptCount val="1"/>
                <c:pt idx="0">
                  <c:v>#REF!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SUMMARY!$B$3:$M$3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3-470A-B834-5995A596E758}"/>
            </c:ext>
          </c:extLst>
        </c:ser>
        <c:ser>
          <c:idx val="1"/>
          <c:order val="1"/>
          <c:tx>
            <c:strRef>
              <c:f>SUMMARY!$A$4</c:f>
              <c:strCache>
                <c:ptCount val="1"/>
                <c:pt idx="0">
                  <c:v>seeds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SUMMARY!$B$3:$M$3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SUMMARY!$B$4:$M$4</c:f>
              <c:numCache>
                <c:formatCode>[$RON]\ #,##0.00</c:formatCode>
                <c:ptCount val="12"/>
                <c:pt idx="0">
                  <c:v>375</c:v>
                </c:pt>
                <c:pt idx="1">
                  <c:v>604</c:v>
                </c:pt>
                <c:pt idx="2">
                  <c:v>156</c:v>
                </c:pt>
                <c:pt idx="3">
                  <c:v>0</c:v>
                </c:pt>
                <c:pt idx="4">
                  <c:v>580</c:v>
                </c:pt>
                <c:pt idx="5">
                  <c:v>0</c:v>
                </c:pt>
                <c:pt idx="6">
                  <c:v>0</c:v>
                </c:pt>
                <c:pt idx="7">
                  <c:v>4480</c:v>
                </c:pt>
                <c:pt idx="8">
                  <c:v>4080</c:v>
                </c:pt>
                <c:pt idx="9">
                  <c:v>0</c:v>
                </c:pt>
                <c:pt idx="10">
                  <c:v>68</c:v>
                </c:pt>
                <c:pt idx="11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3-470A-B834-5995A596E758}"/>
            </c:ext>
          </c:extLst>
        </c:ser>
        <c:ser>
          <c:idx val="2"/>
          <c:order val="2"/>
          <c:tx>
            <c:strRef>
              <c:f>SUMMARY!$A$5</c:f>
              <c:strCache>
                <c:ptCount val="1"/>
                <c:pt idx="0">
                  <c:v>insecticides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SUMMARY!$B$3:$M$3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SUMMARY!$B$5:$M$5</c:f>
              <c:numCache>
                <c:formatCode>[$RON]\ #,##0.00</c:formatCode>
                <c:ptCount val="12"/>
                <c:pt idx="0">
                  <c:v>4500</c:v>
                </c:pt>
                <c:pt idx="1">
                  <c:v>1000</c:v>
                </c:pt>
                <c:pt idx="2">
                  <c:v>3600</c:v>
                </c:pt>
                <c:pt idx="3">
                  <c:v>0</c:v>
                </c:pt>
                <c:pt idx="4">
                  <c:v>2000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3-470A-B834-5995A596E758}"/>
            </c:ext>
          </c:extLst>
        </c:ser>
        <c:ser>
          <c:idx val="3"/>
          <c:order val="3"/>
          <c:tx>
            <c:strRef>
              <c:f>SUMMARY!$A$6</c:f>
              <c:strCache>
                <c:ptCount val="1"/>
                <c:pt idx="0">
                  <c:v>workers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SUMMARY!$B$3:$M$3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SUMMARY!$B$6:$M$6</c:f>
              <c:numCache>
                <c:formatCode>[$RON]\ #,##0.00</c:formatCode>
                <c:ptCount val="12"/>
                <c:pt idx="0">
                  <c:v>2730</c:v>
                </c:pt>
                <c:pt idx="1">
                  <c:v>13400</c:v>
                </c:pt>
                <c:pt idx="2">
                  <c:v>300</c:v>
                </c:pt>
                <c:pt idx="3">
                  <c:v>450</c:v>
                </c:pt>
                <c:pt idx="4">
                  <c:v>1250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73-470A-B834-5995A596E758}"/>
            </c:ext>
          </c:extLst>
        </c:ser>
        <c:ser>
          <c:idx val="4"/>
          <c:order val="4"/>
          <c:tx>
            <c:strRef>
              <c:f>SUMMARY!$A$7</c:f>
              <c:strCache>
                <c:ptCount val="1"/>
                <c:pt idx="0">
                  <c:v>gas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SUMMARY!$B$3:$M$3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SUMMARY!$B$7:$M$7</c:f>
              <c:numCache>
                <c:formatCode>[$RON]\ #,##0.00</c:formatCode>
                <c:ptCount val="12"/>
                <c:pt idx="0">
                  <c:v>112</c:v>
                </c:pt>
                <c:pt idx="1">
                  <c:v>50</c:v>
                </c:pt>
                <c:pt idx="2">
                  <c:v>46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73-470A-B834-5995A596E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739072"/>
        <c:axId val="628728992"/>
        <c:axId val="0"/>
      </c:bar3DChart>
      <c:catAx>
        <c:axId val="62873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28992"/>
        <c:crosses val="autoZero"/>
        <c:auto val="1"/>
        <c:lblAlgn val="ctr"/>
        <c:lblOffset val="100"/>
        <c:noMultiLvlLbl val="0"/>
      </c:catAx>
      <c:valAx>
        <c:axId val="6287289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income </a:t>
            </a: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SUMMARY!$A$12</c:f>
              <c:strCache>
                <c:ptCount val="1"/>
                <c:pt idx="0">
                  <c:v>from selling: 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SUMMARY!$B$11:$M$11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SUMMARY!$B$12:$M$12</c:f>
              <c:numCache>
                <c:formatCode>[$RON]\ #,##0.00</c:formatCode>
                <c:ptCount val="12"/>
                <c:pt idx="0">
                  <c:v>2375</c:v>
                </c:pt>
                <c:pt idx="1">
                  <c:v>1020</c:v>
                </c:pt>
                <c:pt idx="2">
                  <c:v>0</c:v>
                </c:pt>
                <c:pt idx="3">
                  <c:v>0</c:v>
                </c:pt>
                <c:pt idx="4">
                  <c:v>31800</c:v>
                </c:pt>
                <c:pt idx="5">
                  <c:v>7800</c:v>
                </c:pt>
                <c:pt idx="6">
                  <c:v>19250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D-41CE-83E4-9A022BB9BEE7}"/>
            </c:ext>
          </c:extLst>
        </c:ser>
        <c:ser>
          <c:idx val="1"/>
          <c:order val="1"/>
          <c:tx>
            <c:strRef>
              <c:f>SUMMARY!$A$13</c:f>
              <c:strCache>
                <c:ptCount val="1"/>
                <c:pt idx="0">
                  <c:v>project: 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SUMMARY!$B$11:$M$11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SUMMARY!$B$13:$M$13</c:f>
              <c:numCache>
                <c:formatCode>[$RON]\ #,##0.00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4FD-41CE-83E4-9A022BB9B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8737152"/>
        <c:axId val="628737632"/>
        <c:axId val="0"/>
      </c:bar3DChart>
      <c:catAx>
        <c:axId val="6287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7632"/>
        <c:crosses val="autoZero"/>
        <c:auto val="1"/>
        <c:lblAlgn val="ctr"/>
        <c:lblOffset val="100"/>
        <c:noMultiLvlLbl val="0"/>
      </c:catAx>
      <c:valAx>
        <c:axId val="62873763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[$RON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7</xdr:col>
      <xdr:colOff>304800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22B45-3622-41DE-A1CE-535CBACA8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12</xdr:col>
      <xdr:colOff>152400</xdr:colOff>
      <xdr:row>14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5F8101-2BAC-4B72-8DE4-21DB9CAB2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minte1.eu/seminte-rosii" TargetMode="External"/><Relationship Id="rId1" Type="http://schemas.openxmlformats.org/officeDocument/2006/relationships/hyperlink" Target="https://www.seminte1.eu/seminte-rosii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otanistii.ro/blog/calendarul-tratamentelor-tomate/" TargetMode="External"/><Relationship Id="rId1" Type="http://schemas.openxmlformats.org/officeDocument/2006/relationships/hyperlink" Target="https://www.botanistii.ro/blog/calendarul-tratamentelor-toma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AE62-FD37-490D-B0F3-D345A4C1DD4C}">
  <dimension ref="A2:K19"/>
  <sheetViews>
    <sheetView workbookViewId="0">
      <selection activeCell="F17" sqref="F17"/>
    </sheetView>
  </sheetViews>
  <sheetFormatPr defaultRowHeight="14.5" x14ac:dyDescent="0.35"/>
  <cols>
    <col min="1" max="1" width="30.6328125" customWidth="1"/>
    <col min="2" max="2" width="13.08984375" bestFit="1" customWidth="1"/>
    <col min="9" max="9" width="30.6328125" customWidth="1"/>
    <col min="10" max="10" width="15.6328125" style="1" customWidth="1"/>
  </cols>
  <sheetData>
    <row r="2" spans="10:10" x14ac:dyDescent="0.35">
      <c r="J2"/>
    </row>
    <row r="3" spans="10:10" x14ac:dyDescent="0.35">
      <c r="J3"/>
    </row>
    <row r="4" spans="10:10" x14ac:dyDescent="0.35">
      <c r="J4"/>
    </row>
    <row r="17" spans="1:11" x14ac:dyDescent="0.35">
      <c r="A17" s="20" t="s">
        <v>78</v>
      </c>
      <c r="B17" s="18">
        <f>MAX(SUMMARY!$B$8:$M$8)</f>
        <v>15054</v>
      </c>
      <c r="C17" t="str">
        <f>_xlfn.XLOOKUP(B17,SUMMARY!B8:M8,SUMMARY!B3:M3)</f>
        <v>FEB</v>
      </c>
      <c r="I17" s="20" t="s">
        <v>93</v>
      </c>
      <c r="J17" s="18">
        <f>MAX(SUMMARY!$B$14:$M$14)</f>
        <v>31800</v>
      </c>
      <c r="K17" t="str">
        <f>_xlfn.XLOOKUP(comparison!J17,SUMMARY!B14:M14,SUMMARY!B3:M3)</f>
        <v>MAY</v>
      </c>
    </row>
    <row r="18" spans="1:11" x14ac:dyDescent="0.35">
      <c r="A18" s="20" t="s">
        <v>77</v>
      </c>
      <c r="B18" s="18">
        <f>MIN(SUMMARY!B8:M8)</f>
        <v>0</v>
      </c>
      <c r="C18" t="str">
        <f>_xlfn.XLOOKUP(B18,SUMMARY!B8:M8,SUMMARY!B3:M3)</f>
        <v>JUNE</v>
      </c>
      <c r="I18" s="20" t="s">
        <v>94</v>
      </c>
      <c r="J18" s="18">
        <f>MIN(SUMMARY!B14:M14)</f>
        <v>0</v>
      </c>
      <c r="K18" t="str">
        <f>_xlfn.XLOOKUP(J18, SUMMARY!B14:M14, SUMMARY!B3:M3)</f>
        <v>MAR</v>
      </c>
    </row>
    <row r="19" spans="1:11" x14ac:dyDescent="0.35">
      <c r="A19" s="20" t="s">
        <v>76</v>
      </c>
      <c r="B19" s="18">
        <f>AVERAGE(SUMMARY!B8:M8)</f>
        <v>3997.4166666666665</v>
      </c>
      <c r="I19" s="20" t="s">
        <v>95</v>
      </c>
      <c r="J19" s="18">
        <f>AVERAGE(SUMMARY!B14:M14)</f>
        <v>5407.083333333333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EF78-7706-4ACD-8340-C3809BE25DEA}">
  <dimension ref="A1:M19"/>
  <sheetViews>
    <sheetView workbookViewId="0">
      <selection activeCell="C8" sqref="C8"/>
    </sheetView>
  </sheetViews>
  <sheetFormatPr defaultRowHeight="14.5" x14ac:dyDescent="0.35"/>
  <cols>
    <col min="1" max="1" width="30.6328125" customWidth="1"/>
    <col min="2" max="13" width="15.6328125" customWidth="1"/>
  </cols>
  <sheetData>
    <row r="1" spans="1:13" ht="18.5" x14ac:dyDescent="0.45">
      <c r="A1" s="38" t="s">
        <v>96</v>
      </c>
      <c r="B1" s="38"/>
      <c r="C1" s="38"/>
      <c r="D1" s="38"/>
      <c r="E1" s="38"/>
      <c r="F1" s="38"/>
      <c r="G1" s="38"/>
      <c r="H1" s="38"/>
    </row>
    <row r="3" spans="1:13" ht="17" x14ac:dyDescent="0.4">
      <c r="A3" s="37" t="s">
        <v>79</v>
      </c>
      <c r="B3" s="31" t="s">
        <v>4</v>
      </c>
      <c r="C3" s="31" t="s">
        <v>5</v>
      </c>
      <c r="D3" s="31" t="s">
        <v>6</v>
      </c>
      <c r="E3" s="31" t="s">
        <v>7</v>
      </c>
      <c r="F3" s="31" t="s">
        <v>24</v>
      </c>
      <c r="G3" s="31" t="s">
        <v>32</v>
      </c>
      <c r="H3" s="31" t="s">
        <v>33</v>
      </c>
      <c r="I3" s="31" t="s">
        <v>8</v>
      </c>
      <c r="J3" s="31" t="s">
        <v>9</v>
      </c>
      <c r="K3" s="31" t="s">
        <v>31</v>
      </c>
      <c r="L3" s="31" t="s">
        <v>10</v>
      </c>
      <c r="M3" s="31" t="s">
        <v>11</v>
      </c>
    </row>
    <row r="4" spans="1:13" x14ac:dyDescent="0.35">
      <c r="A4" s="6" t="s">
        <v>81</v>
      </c>
      <c r="B4" s="8">
        <f>seeds!K4</f>
        <v>375</v>
      </c>
      <c r="C4" s="8">
        <f>seeds!K5</f>
        <v>604</v>
      </c>
      <c r="D4" s="8">
        <f>seeds!K6</f>
        <v>156</v>
      </c>
      <c r="E4" s="8">
        <f>seeds!K7</f>
        <v>0</v>
      </c>
      <c r="F4" s="8">
        <f>seeds!K8</f>
        <v>580</v>
      </c>
      <c r="G4" s="8">
        <f>seeds!K9</f>
        <v>0</v>
      </c>
      <c r="H4" s="8">
        <f>seeds!K10</f>
        <v>0</v>
      </c>
      <c r="I4" s="8">
        <f>seeds!K11</f>
        <v>4480</v>
      </c>
      <c r="J4" s="8">
        <f>seeds!K12</f>
        <v>4080</v>
      </c>
      <c r="K4" s="8">
        <f>seeds!K13</f>
        <v>0</v>
      </c>
      <c r="L4" s="8">
        <f>seeds!K14</f>
        <v>68</v>
      </c>
      <c r="M4" s="8">
        <f>seeds!K15</f>
        <v>7300</v>
      </c>
    </row>
    <row r="5" spans="1:13" x14ac:dyDescent="0.35">
      <c r="A5" s="6" t="s">
        <v>82</v>
      </c>
      <c r="B5" s="8">
        <f>insecticides!K4</f>
        <v>4500</v>
      </c>
      <c r="C5" s="8">
        <f>insecticides!K5</f>
        <v>1000</v>
      </c>
      <c r="D5" s="8">
        <f>insecticides!K6</f>
        <v>3600</v>
      </c>
      <c r="E5" s="8">
        <f>insecticides!K7</f>
        <v>0</v>
      </c>
      <c r="F5" s="8">
        <f>insecticides!K8</f>
        <v>2000</v>
      </c>
      <c r="G5" s="8">
        <f>insecticides!K9</f>
        <v>0</v>
      </c>
      <c r="H5" s="8">
        <f>insecticides!K10</f>
        <v>0</v>
      </c>
      <c r="I5" s="8">
        <f>insecticides!K11</f>
        <v>0</v>
      </c>
      <c r="J5" s="8">
        <f>insecticides!K12</f>
        <v>0</v>
      </c>
      <c r="K5" s="8">
        <f>insecticides!K13</f>
        <v>0</v>
      </c>
      <c r="L5" s="8">
        <f>insecticides!K14</f>
        <v>0</v>
      </c>
      <c r="M5" s="8">
        <f>insecticides!K15</f>
        <v>0</v>
      </c>
    </row>
    <row r="6" spans="1:13" x14ac:dyDescent="0.35">
      <c r="A6" s="6" t="s">
        <v>83</v>
      </c>
      <c r="B6" s="8">
        <f>workers!G4</f>
        <v>2730</v>
      </c>
      <c r="C6" s="8">
        <f>workers!G5</f>
        <v>13400</v>
      </c>
      <c r="D6" s="8">
        <f>workers!G6</f>
        <v>300</v>
      </c>
      <c r="E6" s="8">
        <f>workers!G7</f>
        <v>450</v>
      </c>
      <c r="F6" s="8">
        <f>workers!G8</f>
        <v>1250</v>
      </c>
      <c r="G6" s="8">
        <f>workers!G9</f>
        <v>0</v>
      </c>
      <c r="H6" s="8">
        <f>workers!G10</f>
        <v>0</v>
      </c>
      <c r="I6" s="8">
        <f>workers!G11</f>
        <v>500</v>
      </c>
      <c r="J6" s="8">
        <f>workers!G12</f>
        <v>0</v>
      </c>
      <c r="K6" s="8">
        <f>workers!G13</f>
        <v>0</v>
      </c>
      <c r="L6" s="8">
        <f>workers!G14</f>
        <v>200</v>
      </c>
      <c r="M6" s="8">
        <f>workers!G15</f>
        <v>23</v>
      </c>
    </row>
    <row r="7" spans="1:13" x14ac:dyDescent="0.35">
      <c r="A7" s="6" t="s">
        <v>84</v>
      </c>
      <c r="B7" s="8">
        <f>logistics!J4</f>
        <v>112</v>
      </c>
      <c r="C7" s="8">
        <f>logistics!J5</f>
        <v>50</v>
      </c>
      <c r="D7" s="8">
        <f>logistics!J6</f>
        <v>46</v>
      </c>
      <c r="E7" s="8">
        <f>logistics!J7</f>
        <v>0</v>
      </c>
      <c r="F7" s="8">
        <f>logistics!J8</f>
        <v>110</v>
      </c>
      <c r="G7" s="8">
        <f>logistics!J9</f>
        <v>0</v>
      </c>
      <c r="H7" s="8">
        <f>logistics!J10</f>
        <v>0</v>
      </c>
      <c r="I7" s="8">
        <f>logistics!J11</f>
        <v>0</v>
      </c>
      <c r="J7" s="8">
        <f>logistics!J12</f>
        <v>0</v>
      </c>
      <c r="K7" s="8">
        <f>logistics!J13</f>
        <v>55</v>
      </c>
      <c r="L7" s="8">
        <f>logistics!J14</f>
        <v>0</v>
      </c>
      <c r="M7" s="8">
        <f>logistics!J15</f>
        <v>0</v>
      </c>
    </row>
    <row r="8" spans="1:13" x14ac:dyDescent="0.35">
      <c r="A8" s="29" t="s">
        <v>85</v>
      </c>
      <c r="B8" s="30">
        <f>SUM(B4:B7)</f>
        <v>7717</v>
      </c>
      <c r="C8" s="30">
        <f t="shared" ref="C8:M8" si="0">SUM(C4:C7)</f>
        <v>15054</v>
      </c>
      <c r="D8" s="30">
        <f t="shared" si="0"/>
        <v>4102</v>
      </c>
      <c r="E8" s="30">
        <f t="shared" si="0"/>
        <v>450</v>
      </c>
      <c r="F8" s="30">
        <f t="shared" si="0"/>
        <v>3940</v>
      </c>
      <c r="G8" s="30">
        <f t="shared" si="0"/>
        <v>0</v>
      </c>
      <c r="H8" s="30">
        <f t="shared" si="0"/>
        <v>0</v>
      </c>
      <c r="I8" s="30">
        <f t="shared" si="0"/>
        <v>4980</v>
      </c>
      <c r="J8" s="30">
        <f t="shared" si="0"/>
        <v>4080</v>
      </c>
      <c r="K8" s="30">
        <f t="shared" si="0"/>
        <v>55</v>
      </c>
      <c r="L8" s="30">
        <f t="shared" si="0"/>
        <v>268</v>
      </c>
      <c r="M8" s="30">
        <f t="shared" si="0"/>
        <v>7323</v>
      </c>
    </row>
    <row r="9" spans="1:13" x14ac:dyDescent="0.3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1:13" ht="17" x14ac:dyDescent="0.4">
      <c r="A11" s="24" t="s">
        <v>80</v>
      </c>
      <c r="B11" s="34" t="s">
        <v>4</v>
      </c>
      <c r="C11" s="34" t="s">
        <v>5</v>
      </c>
      <c r="D11" s="34" t="s">
        <v>6</v>
      </c>
      <c r="E11" s="34" t="s">
        <v>7</v>
      </c>
      <c r="F11" s="34" t="s">
        <v>24</v>
      </c>
      <c r="G11" s="34" t="s">
        <v>32</v>
      </c>
      <c r="H11" s="34" t="s">
        <v>33</v>
      </c>
      <c r="I11" s="34" t="s">
        <v>8</v>
      </c>
      <c r="J11" s="34" t="s">
        <v>9</v>
      </c>
      <c r="K11" s="34" t="s">
        <v>31</v>
      </c>
      <c r="L11" s="34" t="s">
        <v>10</v>
      </c>
      <c r="M11" s="34" t="s">
        <v>11</v>
      </c>
    </row>
    <row r="12" spans="1:13" x14ac:dyDescent="0.35">
      <c r="A12" s="6" t="s">
        <v>86</v>
      </c>
      <c r="B12" s="8">
        <f>sold!K4</f>
        <v>2375</v>
      </c>
      <c r="C12" s="8">
        <f>sold!K5</f>
        <v>1020</v>
      </c>
      <c r="D12" s="8">
        <f>sold!K6</f>
        <v>0</v>
      </c>
      <c r="E12" s="8">
        <f>sold!K7</f>
        <v>0</v>
      </c>
      <c r="F12" s="8">
        <f>sold!K8</f>
        <v>31800</v>
      </c>
      <c r="G12" s="8">
        <f>sold!K9</f>
        <v>7800</v>
      </c>
      <c r="H12" s="8">
        <f>sold!K10</f>
        <v>19250</v>
      </c>
      <c r="I12" s="8">
        <f>sold!K11</f>
        <v>0</v>
      </c>
      <c r="J12" s="8">
        <f>sold!K12</f>
        <v>0</v>
      </c>
      <c r="K12" s="8">
        <f>sold!K13</f>
        <v>0</v>
      </c>
      <c r="L12" s="8">
        <f>sold!K14</f>
        <v>0</v>
      </c>
      <c r="M12" s="8">
        <f>sold!K15</f>
        <v>2640</v>
      </c>
    </row>
    <row r="13" spans="1:13" x14ac:dyDescent="0.35">
      <c r="A13" s="6" t="s">
        <v>87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35">
      <c r="A14" s="32" t="s">
        <v>88</v>
      </c>
      <c r="B14" s="33">
        <f>SUM(B12:B13)</f>
        <v>2375</v>
      </c>
      <c r="C14" s="33">
        <f t="shared" ref="C14:M14" si="1">SUM(C12:C13)</f>
        <v>1020</v>
      </c>
      <c r="D14" s="33">
        <f t="shared" si="1"/>
        <v>0</v>
      </c>
      <c r="E14" s="33">
        <f t="shared" si="1"/>
        <v>0</v>
      </c>
      <c r="F14" s="33">
        <f t="shared" si="1"/>
        <v>31800</v>
      </c>
      <c r="G14" s="33">
        <f t="shared" si="1"/>
        <v>7800</v>
      </c>
      <c r="H14" s="33">
        <f t="shared" si="1"/>
        <v>19250</v>
      </c>
      <c r="I14" s="33">
        <f t="shared" si="1"/>
        <v>0</v>
      </c>
      <c r="J14" s="33">
        <f t="shared" si="1"/>
        <v>0</v>
      </c>
      <c r="K14" s="33">
        <f t="shared" si="1"/>
        <v>0</v>
      </c>
      <c r="L14" s="33">
        <f t="shared" si="1"/>
        <v>0</v>
      </c>
      <c r="M14" s="33">
        <f t="shared" si="1"/>
        <v>2640</v>
      </c>
    </row>
    <row r="16" spans="1:13" x14ac:dyDescent="0.35">
      <c r="A16" s="2" t="s">
        <v>89</v>
      </c>
    </row>
    <row r="17" spans="1:2" ht="17" x14ac:dyDescent="0.4">
      <c r="A17" s="19" t="s">
        <v>90</v>
      </c>
      <c r="B17" s="18">
        <f>SUM(B8:M8)</f>
        <v>47969</v>
      </c>
    </row>
    <row r="18" spans="1:2" ht="17" x14ac:dyDescent="0.4">
      <c r="A18" s="19" t="s">
        <v>91</v>
      </c>
      <c r="B18" s="18">
        <f>SUM(B14:M14)</f>
        <v>64885</v>
      </c>
    </row>
    <row r="19" spans="1:2" ht="17" x14ac:dyDescent="0.4">
      <c r="A19" s="19" t="s">
        <v>92</v>
      </c>
      <c r="B19" s="18">
        <f>B18-B17</f>
        <v>16916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4FFB-DD42-436B-856F-EFB9322FAF68}">
  <dimension ref="A1:K128"/>
  <sheetViews>
    <sheetView tabSelected="1" topLeftCell="B1" workbookViewId="0">
      <selection activeCell="K7" sqref="K7"/>
    </sheetView>
  </sheetViews>
  <sheetFormatPr defaultRowHeight="14.5" x14ac:dyDescent="0.35"/>
  <cols>
    <col min="1" max="1" width="15.6328125" style="14" customWidth="1"/>
    <col min="2" max="3" width="20.6328125" customWidth="1"/>
    <col min="4" max="4" width="15.6328125" customWidth="1"/>
    <col min="5" max="5" width="20.6328125" customWidth="1"/>
    <col min="6" max="6" width="15.6328125" customWidth="1"/>
    <col min="7" max="7" width="15.6328125" style="2" customWidth="1"/>
    <col min="8" max="8" width="15.6328125" customWidth="1"/>
    <col min="10" max="11" width="15.6328125" customWidth="1"/>
  </cols>
  <sheetData>
    <row r="1" spans="1:11" ht="18.5" x14ac:dyDescent="0.45">
      <c r="A1" s="38" t="s">
        <v>14</v>
      </c>
      <c r="B1" s="38"/>
      <c r="C1" s="38"/>
      <c r="D1" s="38"/>
      <c r="E1" s="38"/>
      <c r="F1" s="38"/>
      <c r="G1" s="38"/>
      <c r="H1" s="38"/>
    </row>
    <row r="3" spans="1:11" ht="16" x14ac:dyDescent="0.4">
      <c r="A3" s="21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J3" s="39" t="s">
        <v>23</v>
      </c>
      <c r="K3" s="39"/>
    </row>
    <row r="4" spans="1:11" x14ac:dyDescent="0.35">
      <c r="A4" s="15" t="s">
        <v>4</v>
      </c>
      <c r="B4" s="4" t="s">
        <v>25</v>
      </c>
      <c r="C4" s="5" t="s">
        <v>0</v>
      </c>
      <c r="D4" s="5">
        <v>5</v>
      </c>
      <c r="E4" s="6">
        <v>1000</v>
      </c>
      <c r="F4" s="6">
        <v>75</v>
      </c>
      <c r="G4" s="7">
        <f>D4*F4</f>
        <v>375</v>
      </c>
      <c r="H4" s="8">
        <f>F4/E4</f>
        <v>7.4999999999999997E-2</v>
      </c>
      <c r="J4" s="10" t="s">
        <v>4</v>
      </c>
      <c r="K4" s="11">
        <f>SUMIF(A4:A128,"JAN",G4:G128)</f>
        <v>375</v>
      </c>
    </row>
    <row r="5" spans="1:11" x14ac:dyDescent="0.35">
      <c r="A5" s="15" t="s">
        <v>5</v>
      </c>
      <c r="B5" s="4" t="s">
        <v>26</v>
      </c>
      <c r="C5" s="5" t="s">
        <v>0</v>
      </c>
      <c r="D5" s="6">
        <v>6</v>
      </c>
      <c r="E5" s="6">
        <v>600</v>
      </c>
      <c r="F5" s="6">
        <v>54</v>
      </c>
      <c r="G5" s="7">
        <f t="shared" ref="G5:G68" si="0">D5*F5</f>
        <v>324</v>
      </c>
      <c r="H5" s="8">
        <f t="shared" ref="H5:H68" si="1">F5/E5</f>
        <v>0.09</v>
      </c>
      <c r="J5" s="10" t="s">
        <v>5</v>
      </c>
      <c r="K5" s="11">
        <f>SUMIF(A4:A129,"FEB",G4:G129)</f>
        <v>604</v>
      </c>
    </row>
    <row r="6" spans="1:11" x14ac:dyDescent="0.35">
      <c r="A6" s="15" t="s">
        <v>5</v>
      </c>
      <c r="B6" s="4" t="s">
        <v>27</v>
      </c>
      <c r="C6" s="5" t="s">
        <v>0</v>
      </c>
      <c r="D6" s="6">
        <v>4</v>
      </c>
      <c r="E6" s="6">
        <v>400</v>
      </c>
      <c r="F6" s="6">
        <v>70</v>
      </c>
      <c r="G6" s="7">
        <f t="shared" si="0"/>
        <v>280</v>
      </c>
      <c r="H6" s="8">
        <f t="shared" si="1"/>
        <v>0.17499999999999999</v>
      </c>
      <c r="J6" s="10" t="s">
        <v>6</v>
      </c>
      <c r="K6" s="11">
        <f>SUMIF(A4:A130,"MAR",G4:G130)</f>
        <v>156</v>
      </c>
    </row>
    <row r="7" spans="1:11" x14ac:dyDescent="0.35">
      <c r="A7" s="15" t="s">
        <v>6</v>
      </c>
      <c r="B7" s="4" t="s">
        <v>28</v>
      </c>
      <c r="C7" s="5" t="s">
        <v>0</v>
      </c>
      <c r="D7" s="6">
        <v>2</v>
      </c>
      <c r="E7" s="6">
        <v>3000</v>
      </c>
      <c r="F7" s="6">
        <v>78</v>
      </c>
      <c r="G7" s="7">
        <f t="shared" si="0"/>
        <v>156</v>
      </c>
      <c r="H7" s="8">
        <f t="shared" si="1"/>
        <v>2.5999999999999999E-2</v>
      </c>
      <c r="J7" s="10" t="s">
        <v>7</v>
      </c>
      <c r="K7" s="11">
        <f>SUMIF(A4:A131,"APR",G4:G131)</f>
        <v>0</v>
      </c>
    </row>
    <row r="8" spans="1:11" x14ac:dyDescent="0.35">
      <c r="A8" s="15" t="s">
        <v>11</v>
      </c>
      <c r="B8" s="4" t="s">
        <v>29</v>
      </c>
      <c r="C8" s="5" t="s">
        <v>0</v>
      </c>
      <c r="D8" s="6">
        <v>1</v>
      </c>
      <c r="E8" s="6">
        <v>300</v>
      </c>
      <c r="F8" s="6">
        <v>200</v>
      </c>
      <c r="G8" s="7">
        <f t="shared" si="0"/>
        <v>200</v>
      </c>
      <c r="H8" s="8">
        <f t="shared" si="1"/>
        <v>0.66666666666666663</v>
      </c>
      <c r="J8" s="10" t="s">
        <v>24</v>
      </c>
      <c r="K8" s="11">
        <f>SUMIF(A4:A132,"MAY",G4:G132)</f>
        <v>580</v>
      </c>
    </row>
    <row r="9" spans="1:11" x14ac:dyDescent="0.35">
      <c r="A9" s="15" t="s">
        <v>24</v>
      </c>
      <c r="B9" s="4" t="s">
        <v>30</v>
      </c>
      <c r="C9" s="5" t="s">
        <v>0</v>
      </c>
      <c r="D9" s="6">
        <v>1</v>
      </c>
      <c r="E9" s="6">
        <v>200</v>
      </c>
      <c r="F9" s="6">
        <v>580</v>
      </c>
      <c r="G9" s="7">
        <f t="shared" si="0"/>
        <v>580</v>
      </c>
      <c r="H9" s="8">
        <f t="shared" si="1"/>
        <v>2.9</v>
      </c>
      <c r="J9" s="10" t="s">
        <v>32</v>
      </c>
      <c r="K9" s="11">
        <f>SUMIF(A4:A133,"JUNE",G4:G133)</f>
        <v>0</v>
      </c>
    </row>
    <row r="10" spans="1:11" x14ac:dyDescent="0.35">
      <c r="A10" s="15" t="s">
        <v>10</v>
      </c>
      <c r="B10" s="4" t="s">
        <v>34</v>
      </c>
      <c r="C10" s="5" t="s">
        <v>0</v>
      </c>
      <c r="D10" s="6">
        <v>2</v>
      </c>
      <c r="E10" s="6">
        <v>200</v>
      </c>
      <c r="F10" s="6">
        <v>34</v>
      </c>
      <c r="G10" s="7">
        <f t="shared" si="0"/>
        <v>68</v>
      </c>
      <c r="H10" s="8">
        <f t="shared" si="1"/>
        <v>0.17</v>
      </c>
      <c r="J10" s="10" t="s">
        <v>33</v>
      </c>
      <c r="K10" s="11">
        <f>SUMIF(A4:A134,"JULY",G4:G134)</f>
        <v>0</v>
      </c>
    </row>
    <row r="11" spans="1:11" x14ac:dyDescent="0.35">
      <c r="A11" s="15" t="s">
        <v>11</v>
      </c>
      <c r="B11" s="4" t="s">
        <v>29</v>
      </c>
      <c r="C11" s="5" t="s">
        <v>0</v>
      </c>
      <c r="D11" s="6">
        <v>5</v>
      </c>
      <c r="E11" s="6">
        <v>890</v>
      </c>
      <c r="F11" s="6">
        <v>340</v>
      </c>
      <c r="G11" s="7">
        <f t="shared" si="0"/>
        <v>1700</v>
      </c>
      <c r="H11" s="8">
        <f t="shared" si="1"/>
        <v>0.38202247191011235</v>
      </c>
      <c r="J11" s="10" t="s">
        <v>8</v>
      </c>
      <c r="K11" s="11">
        <f>SUMIF(A4:A135,"AUG",G4:G135)</f>
        <v>4480</v>
      </c>
    </row>
    <row r="12" spans="1:11" x14ac:dyDescent="0.35">
      <c r="A12" s="15" t="s">
        <v>11</v>
      </c>
      <c r="B12" s="4" t="s">
        <v>35</v>
      </c>
      <c r="C12" s="5" t="s">
        <v>0</v>
      </c>
      <c r="D12" s="6">
        <v>6</v>
      </c>
      <c r="E12" s="6">
        <v>450</v>
      </c>
      <c r="F12" s="6">
        <v>900</v>
      </c>
      <c r="G12" s="7">
        <f t="shared" si="0"/>
        <v>5400</v>
      </c>
      <c r="H12" s="8">
        <f t="shared" si="1"/>
        <v>2</v>
      </c>
      <c r="J12" s="10" t="s">
        <v>9</v>
      </c>
      <c r="K12" s="11">
        <f>SUMIF(A4:A136,"SEPT",G4:G136)</f>
        <v>4080</v>
      </c>
    </row>
    <row r="13" spans="1:11" x14ac:dyDescent="0.35">
      <c r="A13" s="15" t="s">
        <v>8</v>
      </c>
      <c r="B13" s="4" t="s">
        <v>36</v>
      </c>
      <c r="C13" s="5" t="s">
        <v>0</v>
      </c>
      <c r="D13" s="6">
        <v>8</v>
      </c>
      <c r="E13" s="6">
        <v>34</v>
      </c>
      <c r="F13" s="6">
        <v>560</v>
      </c>
      <c r="G13" s="7">
        <f t="shared" si="0"/>
        <v>4480</v>
      </c>
      <c r="H13" s="8">
        <f t="shared" si="1"/>
        <v>16.470588235294116</v>
      </c>
      <c r="J13" s="10" t="s">
        <v>31</v>
      </c>
      <c r="K13" s="11">
        <f>SUMIF(A4:A137,"OCT",G4:G137)</f>
        <v>0</v>
      </c>
    </row>
    <row r="14" spans="1:11" x14ac:dyDescent="0.35">
      <c r="A14" s="15" t="s">
        <v>9</v>
      </c>
      <c r="B14" s="4" t="s">
        <v>28</v>
      </c>
      <c r="C14" s="5" t="s">
        <v>0</v>
      </c>
      <c r="D14" s="6">
        <v>12</v>
      </c>
      <c r="E14" s="6">
        <v>1200</v>
      </c>
      <c r="F14" s="6">
        <v>340</v>
      </c>
      <c r="G14" s="7">
        <f t="shared" si="0"/>
        <v>4080</v>
      </c>
      <c r="H14" s="8">
        <f t="shared" si="1"/>
        <v>0.28333333333333333</v>
      </c>
      <c r="J14" s="10" t="s">
        <v>10</v>
      </c>
      <c r="K14" s="11">
        <f>SUMIF(A4:A138,"NOV",G4:G138)</f>
        <v>68</v>
      </c>
    </row>
    <row r="15" spans="1:11" x14ac:dyDescent="0.35">
      <c r="A15" s="15"/>
      <c r="B15" s="4"/>
      <c r="C15" s="6"/>
      <c r="D15" s="6"/>
      <c r="E15" s="6"/>
      <c r="F15" s="6"/>
      <c r="G15" s="7">
        <f t="shared" si="0"/>
        <v>0</v>
      </c>
      <c r="H15" s="8" t="e">
        <f t="shared" si="1"/>
        <v>#DIV/0!</v>
      </c>
      <c r="J15" s="12" t="s">
        <v>11</v>
      </c>
      <c r="K15" s="13">
        <f>SUMIF(A4:A139,"DEC",G4:G139)</f>
        <v>7300</v>
      </c>
    </row>
    <row r="16" spans="1:11" x14ac:dyDescent="0.35">
      <c r="A16" s="15"/>
      <c r="B16" s="4"/>
      <c r="C16" s="6"/>
      <c r="D16" s="6"/>
      <c r="E16" s="6"/>
      <c r="F16" s="6"/>
      <c r="G16" s="7">
        <f t="shared" si="0"/>
        <v>0</v>
      </c>
      <c r="H16" s="8" t="e">
        <f t="shared" si="1"/>
        <v>#DIV/0!</v>
      </c>
    </row>
    <row r="17" spans="1:8" x14ac:dyDescent="0.35">
      <c r="A17" s="15"/>
      <c r="B17" s="4"/>
      <c r="C17" s="6"/>
      <c r="D17" s="6"/>
      <c r="E17" s="6"/>
      <c r="F17" s="6"/>
      <c r="G17" s="7">
        <f t="shared" si="0"/>
        <v>0</v>
      </c>
      <c r="H17" s="8" t="e">
        <f t="shared" si="1"/>
        <v>#DIV/0!</v>
      </c>
    </row>
    <row r="18" spans="1:8" x14ac:dyDescent="0.35">
      <c r="A18" s="15"/>
      <c r="B18" s="4"/>
      <c r="C18" s="6"/>
      <c r="D18" s="6"/>
      <c r="E18" s="6"/>
      <c r="F18" s="6"/>
      <c r="G18" s="7">
        <f t="shared" si="0"/>
        <v>0</v>
      </c>
      <c r="H18" s="8" t="e">
        <f t="shared" si="1"/>
        <v>#DIV/0!</v>
      </c>
    </row>
    <row r="19" spans="1:8" x14ac:dyDescent="0.35">
      <c r="A19" s="15"/>
      <c r="B19" s="4"/>
      <c r="C19" s="6"/>
      <c r="D19" s="6"/>
      <c r="E19" s="6"/>
      <c r="F19" s="6"/>
      <c r="G19" s="7">
        <f t="shared" si="0"/>
        <v>0</v>
      </c>
      <c r="H19" s="8" t="e">
        <f t="shared" si="1"/>
        <v>#DIV/0!</v>
      </c>
    </row>
    <row r="20" spans="1:8" x14ac:dyDescent="0.35">
      <c r="A20" s="15"/>
      <c r="B20" s="4"/>
      <c r="C20" s="6"/>
      <c r="D20" s="6"/>
      <c r="E20" s="6"/>
      <c r="F20" s="6"/>
      <c r="G20" s="7">
        <f t="shared" si="0"/>
        <v>0</v>
      </c>
      <c r="H20" s="8" t="e">
        <f t="shared" si="1"/>
        <v>#DIV/0!</v>
      </c>
    </row>
    <row r="21" spans="1:8" x14ac:dyDescent="0.35">
      <c r="A21" s="15"/>
      <c r="B21" s="4"/>
      <c r="C21" s="6"/>
      <c r="D21" s="6"/>
      <c r="E21" s="6"/>
      <c r="F21" s="6"/>
      <c r="G21" s="7">
        <f t="shared" si="0"/>
        <v>0</v>
      </c>
      <c r="H21" s="8" t="e">
        <f t="shared" si="1"/>
        <v>#DIV/0!</v>
      </c>
    </row>
    <row r="22" spans="1:8" x14ac:dyDescent="0.35">
      <c r="A22" s="15"/>
      <c r="B22" s="4"/>
      <c r="C22" s="6"/>
      <c r="D22" s="6"/>
      <c r="E22" s="6"/>
      <c r="F22" s="6"/>
      <c r="G22" s="7">
        <f t="shared" si="0"/>
        <v>0</v>
      </c>
      <c r="H22" s="8" t="e">
        <f t="shared" si="1"/>
        <v>#DIV/0!</v>
      </c>
    </row>
    <row r="23" spans="1:8" x14ac:dyDescent="0.35">
      <c r="A23" s="15"/>
      <c r="B23" s="4"/>
      <c r="C23" s="6"/>
      <c r="D23" s="6"/>
      <c r="E23" s="6"/>
      <c r="F23" s="6"/>
      <c r="G23" s="7">
        <f t="shared" si="0"/>
        <v>0</v>
      </c>
      <c r="H23" s="8" t="e">
        <f t="shared" si="1"/>
        <v>#DIV/0!</v>
      </c>
    </row>
    <row r="24" spans="1:8" x14ac:dyDescent="0.35">
      <c r="A24" s="15"/>
      <c r="B24" s="4"/>
      <c r="C24" s="6"/>
      <c r="D24" s="6"/>
      <c r="E24" s="6"/>
      <c r="F24" s="6"/>
      <c r="G24" s="7">
        <f t="shared" si="0"/>
        <v>0</v>
      </c>
      <c r="H24" s="8" t="e">
        <f t="shared" si="1"/>
        <v>#DIV/0!</v>
      </c>
    </row>
    <row r="25" spans="1:8" x14ac:dyDescent="0.35">
      <c r="A25" s="15"/>
      <c r="B25" s="4"/>
      <c r="C25" s="6"/>
      <c r="D25" s="6"/>
      <c r="E25" s="6"/>
      <c r="F25" s="6"/>
      <c r="G25" s="7">
        <f t="shared" si="0"/>
        <v>0</v>
      </c>
      <c r="H25" s="8" t="e">
        <f t="shared" si="1"/>
        <v>#DIV/0!</v>
      </c>
    </row>
    <row r="26" spans="1:8" x14ac:dyDescent="0.35">
      <c r="A26" s="15"/>
      <c r="B26" s="4"/>
      <c r="C26" s="6"/>
      <c r="D26" s="6"/>
      <c r="E26" s="6"/>
      <c r="F26" s="6"/>
      <c r="G26" s="7">
        <f t="shared" si="0"/>
        <v>0</v>
      </c>
      <c r="H26" s="8" t="e">
        <f t="shared" si="1"/>
        <v>#DIV/0!</v>
      </c>
    </row>
    <row r="27" spans="1:8" x14ac:dyDescent="0.35">
      <c r="A27" s="15"/>
      <c r="B27" s="4"/>
      <c r="C27" s="6"/>
      <c r="D27" s="6"/>
      <c r="E27" s="6"/>
      <c r="F27" s="6"/>
      <c r="G27" s="7">
        <f t="shared" si="0"/>
        <v>0</v>
      </c>
      <c r="H27" s="8" t="e">
        <f t="shared" si="1"/>
        <v>#DIV/0!</v>
      </c>
    </row>
    <row r="28" spans="1:8" x14ac:dyDescent="0.35">
      <c r="A28" s="15"/>
      <c r="B28" s="4"/>
      <c r="C28" s="6"/>
      <c r="D28" s="6"/>
      <c r="E28" s="6"/>
      <c r="F28" s="6"/>
      <c r="G28" s="7">
        <f t="shared" si="0"/>
        <v>0</v>
      </c>
      <c r="H28" s="8" t="e">
        <f t="shared" si="1"/>
        <v>#DIV/0!</v>
      </c>
    </row>
    <row r="29" spans="1:8" x14ac:dyDescent="0.35">
      <c r="A29" s="15"/>
      <c r="B29" s="4"/>
      <c r="C29" s="6"/>
      <c r="D29" s="6"/>
      <c r="E29" s="6"/>
      <c r="F29" s="6"/>
      <c r="G29" s="7">
        <f t="shared" si="0"/>
        <v>0</v>
      </c>
      <c r="H29" s="8" t="e">
        <f t="shared" si="1"/>
        <v>#DIV/0!</v>
      </c>
    </row>
    <row r="30" spans="1:8" x14ac:dyDescent="0.35">
      <c r="A30" s="15"/>
      <c r="B30" s="4"/>
      <c r="C30" s="6"/>
      <c r="D30" s="6"/>
      <c r="E30" s="6"/>
      <c r="F30" s="6"/>
      <c r="G30" s="7">
        <f t="shared" si="0"/>
        <v>0</v>
      </c>
      <c r="H30" s="8" t="e">
        <f t="shared" si="1"/>
        <v>#DIV/0!</v>
      </c>
    </row>
    <row r="31" spans="1:8" x14ac:dyDescent="0.35">
      <c r="A31" s="15"/>
      <c r="B31" s="4"/>
      <c r="C31" s="6"/>
      <c r="D31" s="6"/>
      <c r="E31" s="6"/>
      <c r="F31" s="6"/>
      <c r="G31" s="7">
        <f t="shared" si="0"/>
        <v>0</v>
      </c>
      <c r="H31" s="8" t="e">
        <f t="shared" si="1"/>
        <v>#DIV/0!</v>
      </c>
    </row>
    <row r="32" spans="1:8" x14ac:dyDescent="0.35">
      <c r="A32" s="15"/>
      <c r="B32" s="4"/>
      <c r="C32" s="6"/>
      <c r="D32" s="6"/>
      <c r="E32" s="6"/>
      <c r="F32" s="6"/>
      <c r="G32" s="7">
        <f t="shared" si="0"/>
        <v>0</v>
      </c>
      <c r="H32" s="8" t="e">
        <f t="shared" si="1"/>
        <v>#DIV/0!</v>
      </c>
    </row>
    <row r="33" spans="1:8" x14ac:dyDescent="0.35">
      <c r="A33" s="15"/>
      <c r="B33" s="4"/>
      <c r="C33" s="6"/>
      <c r="D33" s="6"/>
      <c r="E33" s="6"/>
      <c r="F33" s="6"/>
      <c r="G33" s="7">
        <f t="shared" si="0"/>
        <v>0</v>
      </c>
      <c r="H33" s="8" t="e">
        <f t="shared" si="1"/>
        <v>#DIV/0!</v>
      </c>
    </row>
    <row r="34" spans="1:8" x14ac:dyDescent="0.35">
      <c r="A34" s="15"/>
      <c r="B34" s="4"/>
      <c r="C34" s="6"/>
      <c r="D34" s="6"/>
      <c r="E34" s="6"/>
      <c r="F34" s="6"/>
      <c r="G34" s="7">
        <f t="shared" si="0"/>
        <v>0</v>
      </c>
      <c r="H34" s="8" t="e">
        <f t="shared" si="1"/>
        <v>#DIV/0!</v>
      </c>
    </row>
    <row r="35" spans="1:8" x14ac:dyDescent="0.35">
      <c r="A35" s="15"/>
      <c r="B35" s="4"/>
      <c r="C35" s="6"/>
      <c r="D35" s="6"/>
      <c r="E35" s="6"/>
      <c r="F35" s="6"/>
      <c r="G35" s="7">
        <f t="shared" si="0"/>
        <v>0</v>
      </c>
      <c r="H35" s="8" t="e">
        <f t="shared" si="1"/>
        <v>#DIV/0!</v>
      </c>
    </row>
    <row r="36" spans="1:8" x14ac:dyDescent="0.35">
      <c r="A36" s="15"/>
      <c r="B36" s="4"/>
      <c r="C36" s="6"/>
      <c r="D36" s="6"/>
      <c r="E36" s="6"/>
      <c r="F36" s="6"/>
      <c r="G36" s="7">
        <f t="shared" si="0"/>
        <v>0</v>
      </c>
      <c r="H36" s="8" t="e">
        <f t="shared" si="1"/>
        <v>#DIV/0!</v>
      </c>
    </row>
    <row r="37" spans="1:8" x14ac:dyDescent="0.35">
      <c r="A37" s="15"/>
      <c r="B37" s="4"/>
      <c r="C37" s="6"/>
      <c r="D37" s="6"/>
      <c r="E37" s="6"/>
      <c r="F37" s="6"/>
      <c r="G37" s="7">
        <f t="shared" si="0"/>
        <v>0</v>
      </c>
      <c r="H37" s="8" t="e">
        <f t="shared" si="1"/>
        <v>#DIV/0!</v>
      </c>
    </row>
    <row r="38" spans="1:8" x14ac:dyDescent="0.35">
      <c r="A38" s="15"/>
      <c r="B38" s="4"/>
      <c r="C38" s="6"/>
      <c r="D38" s="6"/>
      <c r="E38" s="6"/>
      <c r="F38" s="6"/>
      <c r="G38" s="7">
        <f t="shared" si="0"/>
        <v>0</v>
      </c>
      <c r="H38" s="8" t="e">
        <f t="shared" si="1"/>
        <v>#DIV/0!</v>
      </c>
    </row>
    <row r="39" spans="1:8" x14ac:dyDescent="0.35">
      <c r="A39" s="15"/>
      <c r="B39" s="4"/>
      <c r="C39" s="6"/>
      <c r="D39" s="6"/>
      <c r="E39" s="6"/>
      <c r="F39" s="6"/>
      <c r="G39" s="7">
        <f t="shared" si="0"/>
        <v>0</v>
      </c>
      <c r="H39" s="8" t="e">
        <f t="shared" si="1"/>
        <v>#DIV/0!</v>
      </c>
    </row>
    <row r="40" spans="1:8" x14ac:dyDescent="0.35">
      <c r="A40" s="15"/>
      <c r="B40" s="4"/>
      <c r="C40" s="6"/>
      <c r="D40" s="6"/>
      <c r="E40" s="6"/>
      <c r="F40" s="6"/>
      <c r="G40" s="7">
        <f t="shared" si="0"/>
        <v>0</v>
      </c>
      <c r="H40" s="8" t="e">
        <f t="shared" si="1"/>
        <v>#DIV/0!</v>
      </c>
    </row>
    <row r="41" spans="1:8" x14ac:dyDescent="0.35">
      <c r="A41" s="15"/>
      <c r="B41" s="4"/>
      <c r="C41" s="6"/>
      <c r="D41" s="6"/>
      <c r="E41" s="6"/>
      <c r="F41" s="6"/>
      <c r="G41" s="7">
        <f t="shared" si="0"/>
        <v>0</v>
      </c>
      <c r="H41" s="8" t="e">
        <f t="shared" si="1"/>
        <v>#DIV/0!</v>
      </c>
    </row>
    <row r="42" spans="1:8" x14ac:dyDescent="0.35">
      <c r="A42" s="15"/>
      <c r="B42" s="4"/>
      <c r="C42" s="6"/>
      <c r="D42" s="6"/>
      <c r="E42" s="6"/>
      <c r="F42" s="6"/>
      <c r="G42" s="7">
        <f t="shared" si="0"/>
        <v>0</v>
      </c>
      <c r="H42" s="8" t="e">
        <f t="shared" si="1"/>
        <v>#DIV/0!</v>
      </c>
    </row>
    <row r="43" spans="1:8" x14ac:dyDescent="0.35">
      <c r="A43" s="15"/>
      <c r="B43" s="4"/>
      <c r="C43" s="6"/>
      <c r="D43" s="6"/>
      <c r="E43" s="6"/>
      <c r="F43" s="6"/>
      <c r="G43" s="7">
        <f t="shared" si="0"/>
        <v>0</v>
      </c>
      <c r="H43" s="8" t="e">
        <f t="shared" si="1"/>
        <v>#DIV/0!</v>
      </c>
    </row>
    <row r="44" spans="1:8" x14ac:dyDescent="0.35">
      <c r="A44" s="15"/>
      <c r="B44" s="4"/>
      <c r="C44" s="6"/>
      <c r="D44" s="6"/>
      <c r="E44" s="6"/>
      <c r="F44" s="6"/>
      <c r="G44" s="7">
        <f t="shared" si="0"/>
        <v>0</v>
      </c>
      <c r="H44" s="8" t="e">
        <f t="shared" si="1"/>
        <v>#DIV/0!</v>
      </c>
    </row>
    <row r="45" spans="1:8" x14ac:dyDescent="0.35">
      <c r="A45" s="15"/>
      <c r="B45" s="4"/>
      <c r="C45" s="6"/>
      <c r="D45" s="6"/>
      <c r="E45" s="6"/>
      <c r="F45" s="6"/>
      <c r="G45" s="7">
        <f t="shared" si="0"/>
        <v>0</v>
      </c>
      <c r="H45" s="8" t="e">
        <f t="shared" si="1"/>
        <v>#DIV/0!</v>
      </c>
    </row>
    <row r="46" spans="1:8" x14ac:dyDescent="0.35">
      <c r="A46" s="15"/>
      <c r="B46" s="4"/>
      <c r="C46" s="6"/>
      <c r="D46" s="6"/>
      <c r="E46" s="6"/>
      <c r="F46" s="6"/>
      <c r="G46" s="7">
        <f t="shared" si="0"/>
        <v>0</v>
      </c>
      <c r="H46" s="8" t="e">
        <f t="shared" si="1"/>
        <v>#DIV/0!</v>
      </c>
    </row>
    <row r="47" spans="1:8" x14ac:dyDescent="0.35">
      <c r="A47" s="15"/>
      <c r="B47" s="4"/>
      <c r="C47" s="6"/>
      <c r="D47" s="6"/>
      <c r="E47" s="6"/>
      <c r="F47" s="6"/>
      <c r="G47" s="7">
        <f t="shared" si="0"/>
        <v>0</v>
      </c>
      <c r="H47" s="8" t="e">
        <f t="shared" si="1"/>
        <v>#DIV/0!</v>
      </c>
    </row>
    <row r="48" spans="1:8" x14ac:dyDescent="0.35">
      <c r="A48" s="15"/>
      <c r="B48" s="4"/>
      <c r="C48" s="6"/>
      <c r="D48" s="6"/>
      <c r="E48" s="6"/>
      <c r="F48" s="6"/>
      <c r="G48" s="7">
        <f t="shared" si="0"/>
        <v>0</v>
      </c>
      <c r="H48" s="8" t="e">
        <f t="shared" si="1"/>
        <v>#DIV/0!</v>
      </c>
    </row>
    <row r="49" spans="1:8" x14ac:dyDescent="0.35">
      <c r="A49" s="15"/>
      <c r="B49" s="4"/>
      <c r="C49" s="6"/>
      <c r="D49" s="6"/>
      <c r="E49" s="6"/>
      <c r="F49" s="6"/>
      <c r="G49" s="7">
        <f t="shared" si="0"/>
        <v>0</v>
      </c>
      <c r="H49" s="8" t="e">
        <f t="shared" si="1"/>
        <v>#DIV/0!</v>
      </c>
    </row>
    <row r="50" spans="1:8" x14ac:dyDescent="0.35">
      <c r="A50" s="15"/>
      <c r="B50" s="4"/>
      <c r="C50" s="6"/>
      <c r="D50" s="6"/>
      <c r="E50" s="6"/>
      <c r="F50" s="6"/>
      <c r="G50" s="7">
        <f t="shared" si="0"/>
        <v>0</v>
      </c>
      <c r="H50" s="8" t="e">
        <f t="shared" si="1"/>
        <v>#DIV/0!</v>
      </c>
    </row>
    <row r="51" spans="1:8" x14ac:dyDescent="0.35">
      <c r="A51" s="15"/>
      <c r="B51" s="4"/>
      <c r="C51" s="6"/>
      <c r="D51" s="6"/>
      <c r="E51" s="6"/>
      <c r="F51" s="6"/>
      <c r="G51" s="7">
        <f t="shared" si="0"/>
        <v>0</v>
      </c>
      <c r="H51" s="8" t="e">
        <f t="shared" si="1"/>
        <v>#DIV/0!</v>
      </c>
    </row>
    <row r="52" spans="1:8" x14ac:dyDescent="0.35">
      <c r="A52" s="15"/>
      <c r="B52" s="4"/>
      <c r="C52" s="6"/>
      <c r="D52" s="6"/>
      <c r="E52" s="6"/>
      <c r="F52" s="6"/>
      <c r="G52" s="7">
        <f t="shared" si="0"/>
        <v>0</v>
      </c>
      <c r="H52" s="8" t="e">
        <f t="shared" si="1"/>
        <v>#DIV/0!</v>
      </c>
    </row>
    <row r="53" spans="1:8" x14ac:dyDescent="0.35">
      <c r="A53" s="15"/>
      <c r="B53" s="4"/>
      <c r="C53" s="6"/>
      <c r="D53" s="6"/>
      <c r="E53" s="6"/>
      <c r="F53" s="6"/>
      <c r="G53" s="7">
        <f t="shared" si="0"/>
        <v>0</v>
      </c>
      <c r="H53" s="8" t="e">
        <f t="shared" si="1"/>
        <v>#DIV/0!</v>
      </c>
    </row>
    <row r="54" spans="1:8" x14ac:dyDescent="0.35">
      <c r="A54" s="15"/>
      <c r="B54" s="4"/>
      <c r="C54" s="6"/>
      <c r="D54" s="6"/>
      <c r="E54" s="6"/>
      <c r="F54" s="6"/>
      <c r="G54" s="7">
        <f t="shared" si="0"/>
        <v>0</v>
      </c>
      <c r="H54" s="8" t="e">
        <f t="shared" si="1"/>
        <v>#DIV/0!</v>
      </c>
    </row>
    <row r="55" spans="1:8" x14ac:dyDescent="0.35">
      <c r="A55" s="15"/>
      <c r="B55" s="4"/>
      <c r="C55" s="6"/>
      <c r="D55" s="6"/>
      <c r="E55" s="6"/>
      <c r="F55" s="6"/>
      <c r="G55" s="7">
        <f t="shared" si="0"/>
        <v>0</v>
      </c>
      <c r="H55" s="8" t="e">
        <f t="shared" si="1"/>
        <v>#DIV/0!</v>
      </c>
    </row>
    <row r="56" spans="1:8" x14ac:dyDescent="0.35">
      <c r="A56" s="15"/>
      <c r="B56" s="4"/>
      <c r="C56" s="6"/>
      <c r="D56" s="6"/>
      <c r="E56" s="6"/>
      <c r="F56" s="6"/>
      <c r="G56" s="7">
        <f t="shared" si="0"/>
        <v>0</v>
      </c>
      <c r="H56" s="8" t="e">
        <f t="shared" si="1"/>
        <v>#DIV/0!</v>
      </c>
    </row>
    <row r="57" spans="1:8" x14ac:dyDescent="0.35">
      <c r="A57" s="15"/>
      <c r="B57" s="4"/>
      <c r="C57" s="6"/>
      <c r="D57" s="6"/>
      <c r="E57" s="6"/>
      <c r="F57" s="6"/>
      <c r="G57" s="7">
        <f t="shared" si="0"/>
        <v>0</v>
      </c>
      <c r="H57" s="8" t="e">
        <f t="shared" si="1"/>
        <v>#DIV/0!</v>
      </c>
    </row>
    <row r="58" spans="1:8" x14ac:dyDescent="0.35">
      <c r="A58" s="15"/>
      <c r="B58" s="4"/>
      <c r="C58" s="6"/>
      <c r="D58" s="6"/>
      <c r="E58" s="6"/>
      <c r="F58" s="6"/>
      <c r="G58" s="7">
        <f t="shared" si="0"/>
        <v>0</v>
      </c>
      <c r="H58" s="8" t="e">
        <f t="shared" si="1"/>
        <v>#DIV/0!</v>
      </c>
    </row>
    <row r="59" spans="1:8" x14ac:dyDescent="0.35">
      <c r="A59" s="15"/>
      <c r="B59" s="4"/>
      <c r="C59" s="6"/>
      <c r="D59" s="6"/>
      <c r="E59" s="6"/>
      <c r="F59" s="6"/>
      <c r="G59" s="7">
        <f t="shared" si="0"/>
        <v>0</v>
      </c>
      <c r="H59" s="8" t="e">
        <f t="shared" si="1"/>
        <v>#DIV/0!</v>
      </c>
    </row>
    <row r="60" spans="1:8" x14ac:dyDescent="0.35">
      <c r="A60" s="15"/>
      <c r="B60" s="4"/>
      <c r="C60" s="6"/>
      <c r="D60" s="6"/>
      <c r="E60" s="6"/>
      <c r="F60" s="6"/>
      <c r="G60" s="7">
        <f t="shared" si="0"/>
        <v>0</v>
      </c>
      <c r="H60" s="8" t="e">
        <f t="shared" si="1"/>
        <v>#DIV/0!</v>
      </c>
    </row>
    <row r="61" spans="1:8" x14ac:dyDescent="0.35">
      <c r="A61" s="15"/>
      <c r="B61" s="4"/>
      <c r="C61" s="6"/>
      <c r="D61" s="6"/>
      <c r="E61" s="6"/>
      <c r="F61" s="6"/>
      <c r="G61" s="7">
        <f t="shared" si="0"/>
        <v>0</v>
      </c>
      <c r="H61" s="8" t="e">
        <f t="shared" si="1"/>
        <v>#DIV/0!</v>
      </c>
    </row>
    <row r="62" spans="1:8" x14ac:dyDescent="0.35">
      <c r="A62" s="15"/>
      <c r="B62" s="4"/>
      <c r="C62" s="6"/>
      <c r="D62" s="6"/>
      <c r="E62" s="6"/>
      <c r="F62" s="6"/>
      <c r="G62" s="7">
        <f t="shared" si="0"/>
        <v>0</v>
      </c>
      <c r="H62" s="8" t="e">
        <f t="shared" si="1"/>
        <v>#DIV/0!</v>
      </c>
    </row>
    <row r="63" spans="1:8" x14ac:dyDescent="0.35">
      <c r="A63" s="15"/>
      <c r="B63" s="4"/>
      <c r="C63" s="6"/>
      <c r="D63" s="6"/>
      <c r="E63" s="6"/>
      <c r="F63" s="6"/>
      <c r="G63" s="7">
        <f t="shared" si="0"/>
        <v>0</v>
      </c>
      <c r="H63" s="8" t="e">
        <f t="shared" si="1"/>
        <v>#DIV/0!</v>
      </c>
    </row>
    <row r="64" spans="1:8" x14ac:dyDescent="0.35">
      <c r="A64" s="15"/>
      <c r="B64" s="4"/>
      <c r="C64" s="6"/>
      <c r="D64" s="6"/>
      <c r="E64" s="6"/>
      <c r="F64" s="6"/>
      <c r="G64" s="7">
        <f t="shared" si="0"/>
        <v>0</v>
      </c>
      <c r="H64" s="8" t="e">
        <f t="shared" si="1"/>
        <v>#DIV/0!</v>
      </c>
    </row>
    <row r="65" spans="1:8" x14ac:dyDescent="0.35">
      <c r="A65" s="15"/>
      <c r="B65" s="4"/>
      <c r="C65" s="6"/>
      <c r="D65" s="6"/>
      <c r="E65" s="6"/>
      <c r="F65" s="6"/>
      <c r="G65" s="7">
        <f t="shared" si="0"/>
        <v>0</v>
      </c>
      <c r="H65" s="8" t="e">
        <f t="shared" si="1"/>
        <v>#DIV/0!</v>
      </c>
    </row>
    <row r="66" spans="1:8" x14ac:dyDescent="0.35">
      <c r="A66" s="15"/>
      <c r="B66" s="4"/>
      <c r="C66" s="6"/>
      <c r="D66" s="6"/>
      <c r="E66" s="6"/>
      <c r="F66" s="6"/>
      <c r="G66" s="7">
        <f t="shared" si="0"/>
        <v>0</v>
      </c>
      <c r="H66" s="8" t="e">
        <f t="shared" si="1"/>
        <v>#DIV/0!</v>
      </c>
    </row>
    <row r="67" spans="1:8" x14ac:dyDescent="0.35">
      <c r="A67" s="15"/>
      <c r="B67" s="4"/>
      <c r="C67" s="6"/>
      <c r="D67" s="6"/>
      <c r="E67" s="6"/>
      <c r="F67" s="6"/>
      <c r="G67" s="7">
        <f t="shared" si="0"/>
        <v>0</v>
      </c>
      <c r="H67" s="8" t="e">
        <f t="shared" si="1"/>
        <v>#DIV/0!</v>
      </c>
    </row>
    <row r="68" spans="1:8" x14ac:dyDescent="0.35">
      <c r="A68" s="15"/>
      <c r="B68" s="4"/>
      <c r="C68" s="6"/>
      <c r="D68" s="6"/>
      <c r="E68" s="6"/>
      <c r="F68" s="6"/>
      <c r="G68" s="7">
        <f t="shared" si="0"/>
        <v>0</v>
      </c>
      <c r="H68" s="8" t="e">
        <f t="shared" si="1"/>
        <v>#DIV/0!</v>
      </c>
    </row>
    <row r="69" spans="1:8" x14ac:dyDescent="0.35">
      <c r="A69" s="15"/>
      <c r="B69" s="4"/>
      <c r="C69" s="6"/>
      <c r="D69" s="6"/>
      <c r="E69" s="6"/>
      <c r="F69" s="6"/>
      <c r="G69" s="7">
        <f t="shared" ref="G69:G128" si="2">D69*F69</f>
        <v>0</v>
      </c>
      <c r="H69" s="8" t="e">
        <f t="shared" ref="H69:H128" si="3">F69/E69</f>
        <v>#DIV/0!</v>
      </c>
    </row>
    <row r="70" spans="1:8" x14ac:dyDescent="0.35">
      <c r="A70" s="15"/>
      <c r="B70" s="4"/>
      <c r="C70" s="6"/>
      <c r="D70" s="6"/>
      <c r="E70" s="6"/>
      <c r="F70" s="6"/>
      <c r="G70" s="7">
        <f t="shared" si="2"/>
        <v>0</v>
      </c>
      <c r="H70" s="8" t="e">
        <f t="shared" si="3"/>
        <v>#DIV/0!</v>
      </c>
    </row>
    <row r="71" spans="1:8" x14ac:dyDescent="0.35">
      <c r="A71" s="15"/>
      <c r="B71" s="4"/>
      <c r="C71" s="6"/>
      <c r="D71" s="6"/>
      <c r="E71" s="6"/>
      <c r="F71" s="6"/>
      <c r="G71" s="7">
        <f t="shared" si="2"/>
        <v>0</v>
      </c>
      <c r="H71" s="8" t="e">
        <f t="shared" si="3"/>
        <v>#DIV/0!</v>
      </c>
    </row>
    <row r="72" spans="1:8" x14ac:dyDescent="0.35">
      <c r="A72" s="15"/>
      <c r="B72" s="4"/>
      <c r="C72" s="6"/>
      <c r="D72" s="6"/>
      <c r="E72" s="6"/>
      <c r="F72" s="6"/>
      <c r="G72" s="7">
        <f t="shared" si="2"/>
        <v>0</v>
      </c>
      <c r="H72" s="8" t="e">
        <f t="shared" si="3"/>
        <v>#DIV/0!</v>
      </c>
    </row>
    <row r="73" spans="1:8" x14ac:dyDescent="0.35">
      <c r="A73" s="15"/>
      <c r="B73" s="4"/>
      <c r="C73" s="6"/>
      <c r="D73" s="6"/>
      <c r="E73" s="6"/>
      <c r="F73" s="6"/>
      <c r="G73" s="7">
        <f t="shared" si="2"/>
        <v>0</v>
      </c>
      <c r="H73" s="8" t="e">
        <f t="shared" si="3"/>
        <v>#DIV/0!</v>
      </c>
    </row>
    <row r="74" spans="1:8" x14ac:dyDescent="0.35">
      <c r="A74" s="15"/>
      <c r="B74" s="4"/>
      <c r="C74" s="6"/>
      <c r="D74" s="6"/>
      <c r="E74" s="6"/>
      <c r="F74" s="6"/>
      <c r="G74" s="7">
        <f t="shared" si="2"/>
        <v>0</v>
      </c>
      <c r="H74" s="8" t="e">
        <f t="shared" si="3"/>
        <v>#DIV/0!</v>
      </c>
    </row>
    <row r="75" spans="1:8" x14ac:dyDescent="0.35">
      <c r="A75" s="15"/>
      <c r="B75" s="4"/>
      <c r="C75" s="6"/>
      <c r="D75" s="6"/>
      <c r="E75" s="6"/>
      <c r="F75" s="6"/>
      <c r="G75" s="7">
        <f t="shared" si="2"/>
        <v>0</v>
      </c>
      <c r="H75" s="8" t="e">
        <f t="shared" si="3"/>
        <v>#DIV/0!</v>
      </c>
    </row>
    <row r="76" spans="1:8" x14ac:dyDescent="0.35">
      <c r="A76" s="15"/>
      <c r="B76" s="4"/>
      <c r="C76" s="6"/>
      <c r="D76" s="6"/>
      <c r="E76" s="6"/>
      <c r="F76" s="6"/>
      <c r="G76" s="7">
        <f t="shared" si="2"/>
        <v>0</v>
      </c>
      <c r="H76" s="8" t="e">
        <f t="shared" si="3"/>
        <v>#DIV/0!</v>
      </c>
    </row>
    <row r="77" spans="1:8" x14ac:dyDescent="0.35">
      <c r="A77" s="15"/>
      <c r="B77" s="4"/>
      <c r="C77" s="6"/>
      <c r="D77" s="6"/>
      <c r="E77" s="6"/>
      <c r="F77" s="6"/>
      <c r="G77" s="7">
        <f t="shared" si="2"/>
        <v>0</v>
      </c>
      <c r="H77" s="8" t="e">
        <f t="shared" si="3"/>
        <v>#DIV/0!</v>
      </c>
    </row>
    <row r="78" spans="1:8" x14ac:dyDescent="0.35">
      <c r="A78" s="15"/>
      <c r="B78" s="4"/>
      <c r="C78" s="6"/>
      <c r="D78" s="6"/>
      <c r="E78" s="6"/>
      <c r="F78" s="6"/>
      <c r="G78" s="7">
        <f t="shared" si="2"/>
        <v>0</v>
      </c>
      <c r="H78" s="8" t="e">
        <f t="shared" si="3"/>
        <v>#DIV/0!</v>
      </c>
    </row>
    <row r="79" spans="1:8" x14ac:dyDescent="0.35">
      <c r="A79" s="15"/>
      <c r="B79" s="4"/>
      <c r="C79" s="6"/>
      <c r="D79" s="6"/>
      <c r="E79" s="6"/>
      <c r="F79" s="6"/>
      <c r="G79" s="7">
        <f t="shared" si="2"/>
        <v>0</v>
      </c>
      <c r="H79" s="8" t="e">
        <f t="shared" si="3"/>
        <v>#DIV/0!</v>
      </c>
    </row>
    <row r="80" spans="1:8" x14ac:dyDescent="0.35">
      <c r="A80" s="15"/>
      <c r="B80" s="4"/>
      <c r="C80" s="6"/>
      <c r="D80" s="6"/>
      <c r="E80" s="6"/>
      <c r="F80" s="6"/>
      <c r="G80" s="7">
        <f t="shared" si="2"/>
        <v>0</v>
      </c>
      <c r="H80" s="8" t="e">
        <f t="shared" si="3"/>
        <v>#DIV/0!</v>
      </c>
    </row>
    <row r="81" spans="1:8" x14ac:dyDescent="0.35">
      <c r="A81" s="15"/>
      <c r="B81" s="4"/>
      <c r="C81" s="6"/>
      <c r="D81" s="6"/>
      <c r="E81" s="6"/>
      <c r="F81" s="6"/>
      <c r="G81" s="7">
        <f t="shared" si="2"/>
        <v>0</v>
      </c>
      <c r="H81" s="8" t="e">
        <f t="shared" si="3"/>
        <v>#DIV/0!</v>
      </c>
    </row>
    <row r="82" spans="1:8" x14ac:dyDescent="0.35">
      <c r="A82" s="15"/>
      <c r="B82" s="4"/>
      <c r="C82" s="6"/>
      <c r="D82" s="6"/>
      <c r="E82" s="6"/>
      <c r="F82" s="6"/>
      <c r="G82" s="7">
        <f t="shared" si="2"/>
        <v>0</v>
      </c>
      <c r="H82" s="8" t="e">
        <f t="shared" si="3"/>
        <v>#DIV/0!</v>
      </c>
    </row>
    <row r="83" spans="1:8" x14ac:dyDescent="0.35">
      <c r="A83" s="15"/>
      <c r="B83" s="4"/>
      <c r="C83" s="6"/>
      <c r="D83" s="6"/>
      <c r="E83" s="6"/>
      <c r="F83" s="6"/>
      <c r="G83" s="7">
        <f t="shared" si="2"/>
        <v>0</v>
      </c>
      <c r="H83" s="8" t="e">
        <f t="shared" si="3"/>
        <v>#DIV/0!</v>
      </c>
    </row>
    <row r="84" spans="1:8" x14ac:dyDescent="0.35">
      <c r="A84" s="15"/>
      <c r="B84" s="4"/>
      <c r="C84" s="6"/>
      <c r="D84" s="6"/>
      <c r="E84" s="6"/>
      <c r="F84" s="6"/>
      <c r="G84" s="7">
        <f t="shared" si="2"/>
        <v>0</v>
      </c>
      <c r="H84" s="8" t="e">
        <f t="shared" si="3"/>
        <v>#DIV/0!</v>
      </c>
    </row>
    <row r="85" spans="1:8" x14ac:dyDescent="0.35">
      <c r="A85" s="15"/>
      <c r="B85" s="4"/>
      <c r="C85" s="6"/>
      <c r="D85" s="6"/>
      <c r="E85" s="6"/>
      <c r="F85" s="6"/>
      <c r="G85" s="7">
        <f t="shared" si="2"/>
        <v>0</v>
      </c>
      <c r="H85" s="8" t="e">
        <f t="shared" si="3"/>
        <v>#DIV/0!</v>
      </c>
    </row>
    <row r="86" spans="1:8" x14ac:dyDescent="0.35">
      <c r="A86" s="15"/>
      <c r="B86" s="4"/>
      <c r="C86" s="6"/>
      <c r="D86" s="6"/>
      <c r="E86" s="6"/>
      <c r="F86" s="6"/>
      <c r="G86" s="7">
        <f t="shared" si="2"/>
        <v>0</v>
      </c>
      <c r="H86" s="8" t="e">
        <f t="shared" si="3"/>
        <v>#DIV/0!</v>
      </c>
    </row>
    <row r="87" spans="1:8" x14ac:dyDescent="0.35">
      <c r="A87" s="15"/>
      <c r="B87" s="4"/>
      <c r="C87" s="6"/>
      <c r="D87" s="6"/>
      <c r="E87" s="6"/>
      <c r="F87" s="6"/>
      <c r="G87" s="7">
        <f t="shared" si="2"/>
        <v>0</v>
      </c>
      <c r="H87" s="8" t="e">
        <f t="shared" si="3"/>
        <v>#DIV/0!</v>
      </c>
    </row>
    <row r="88" spans="1:8" x14ac:dyDescent="0.35">
      <c r="A88" s="15"/>
      <c r="B88" s="4"/>
      <c r="C88" s="6"/>
      <c r="D88" s="6"/>
      <c r="E88" s="6"/>
      <c r="F88" s="6"/>
      <c r="G88" s="7">
        <f t="shared" si="2"/>
        <v>0</v>
      </c>
      <c r="H88" s="8" t="e">
        <f t="shared" si="3"/>
        <v>#DIV/0!</v>
      </c>
    </row>
    <row r="89" spans="1:8" x14ac:dyDescent="0.35">
      <c r="A89" s="15"/>
      <c r="B89" s="4"/>
      <c r="C89" s="6"/>
      <c r="D89" s="6"/>
      <c r="E89" s="6"/>
      <c r="F89" s="6"/>
      <c r="G89" s="7">
        <f t="shared" si="2"/>
        <v>0</v>
      </c>
      <c r="H89" s="8" t="e">
        <f t="shared" si="3"/>
        <v>#DIV/0!</v>
      </c>
    </row>
    <row r="90" spans="1:8" x14ac:dyDescent="0.35">
      <c r="A90" s="15"/>
      <c r="B90" s="4"/>
      <c r="C90" s="6"/>
      <c r="D90" s="6"/>
      <c r="E90" s="6"/>
      <c r="F90" s="6"/>
      <c r="G90" s="7">
        <f t="shared" si="2"/>
        <v>0</v>
      </c>
      <c r="H90" s="8" t="e">
        <f t="shared" si="3"/>
        <v>#DIV/0!</v>
      </c>
    </row>
    <row r="91" spans="1:8" x14ac:dyDescent="0.35">
      <c r="A91" s="15"/>
      <c r="B91" s="4"/>
      <c r="C91" s="6"/>
      <c r="D91" s="6"/>
      <c r="E91" s="6"/>
      <c r="F91" s="6"/>
      <c r="G91" s="7">
        <f t="shared" si="2"/>
        <v>0</v>
      </c>
      <c r="H91" s="8" t="e">
        <f t="shared" si="3"/>
        <v>#DIV/0!</v>
      </c>
    </row>
    <row r="92" spans="1:8" x14ac:dyDescent="0.35">
      <c r="A92" s="15"/>
      <c r="B92" s="4"/>
      <c r="C92" s="6"/>
      <c r="D92" s="6"/>
      <c r="E92" s="6"/>
      <c r="F92" s="6"/>
      <c r="G92" s="7">
        <f t="shared" si="2"/>
        <v>0</v>
      </c>
      <c r="H92" s="8" t="e">
        <f t="shared" si="3"/>
        <v>#DIV/0!</v>
      </c>
    </row>
    <row r="93" spans="1:8" x14ac:dyDescent="0.35">
      <c r="A93" s="15"/>
      <c r="B93" s="4"/>
      <c r="C93" s="6"/>
      <c r="D93" s="6"/>
      <c r="E93" s="6"/>
      <c r="F93" s="6"/>
      <c r="G93" s="7">
        <f t="shared" si="2"/>
        <v>0</v>
      </c>
      <c r="H93" s="8" t="e">
        <f t="shared" si="3"/>
        <v>#DIV/0!</v>
      </c>
    </row>
    <row r="94" spans="1:8" x14ac:dyDescent="0.35">
      <c r="A94" s="15"/>
      <c r="B94" s="4"/>
      <c r="C94" s="6"/>
      <c r="D94" s="6"/>
      <c r="E94" s="6"/>
      <c r="F94" s="6"/>
      <c r="G94" s="7">
        <f t="shared" si="2"/>
        <v>0</v>
      </c>
      <c r="H94" s="8" t="e">
        <f t="shared" si="3"/>
        <v>#DIV/0!</v>
      </c>
    </row>
    <row r="95" spans="1:8" x14ac:dyDescent="0.35">
      <c r="A95" s="15"/>
      <c r="B95" s="4"/>
      <c r="C95" s="6"/>
      <c r="D95" s="6"/>
      <c r="E95" s="6"/>
      <c r="F95" s="6"/>
      <c r="G95" s="7">
        <f t="shared" si="2"/>
        <v>0</v>
      </c>
      <c r="H95" s="8" t="e">
        <f t="shared" si="3"/>
        <v>#DIV/0!</v>
      </c>
    </row>
    <row r="96" spans="1:8" x14ac:dyDescent="0.35">
      <c r="A96" s="15"/>
      <c r="B96" s="4"/>
      <c r="C96" s="6"/>
      <c r="D96" s="6"/>
      <c r="E96" s="6"/>
      <c r="F96" s="6"/>
      <c r="G96" s="7">
        <f t="shared" si="2"/>
        <v>0</v>
      </c>
      <c r="H96" s="8" t="e">
        <f t="shared" si="3"/>
        <v>#DIV/0!</v>
      </c>
    </row>
    <row r="97" spans="1:8" x14ac:dyDescent="0.35">
      <c r="A97" s="15"/>
      <c r="B97" s="4"/>
      <c r="C97" s="6"/>
      <c r="D97" s="6"/>
      <c r="E97" s="6"/>
      <c r="F97" s="6"/>
      <c r="G97" s="7">
        <f t="shared" si="2"/>
        <v>0</v>
      </c>
      <c r="H97" s="8" t="e">
        <f t="shared" si="3"/>
        <v>#DIV/0!</v>
      </c>
    </row>
    <row r="98" spans="1:8" x14ac:dyDescent="0.35">
      <c r="A98" s="15"/>
      <c r="B98" s="4"/>
      <c r="C98" s="6"/>
      <c r="D98" s="6"/>
      <c r="E98" s="6"/>
      <c r="F98" s="6"/>
      <c r="G98" s="7">
        <f t="shared" si="2"/>
        <v>0</v>
      </c>
      <c r="H98" s="8" t="e">
        <f t="shared" si="3"/>
        <v>#DIV/0!</v>
      </c>
    </row>
    <row r="99" spans="1:8" x14ac:dyDescent="0.35">
      <c r="A99" s="15"/>
      <c r="B99" s="4"/>
      <c r="C99" s="6"/>
      <c r="D99" s="6"/>
      <c r="E99" s="6"/>
      <c r="F99" s="6"/>
      <c r="G99" s="7">
        <f t="shared" si="2"/>
        <v>0</v>
      </c>
      <c r="H99" s="8" t="e">
        <f t="shared" si="3"/>
        <v>#DIV/0!</v>
      </c>
    </row>
    <row r="100" spans="1:8" x14ac:dyDescent="0.35">
      <c r="A100" s="15"/>
      <c r="B100" s="4"/>
      <c r="C100" s="6"/>
      <c r="D100" s="6"/>
      <c r="E100" s="6"/>
      <c r="F100" s="6"/>
      <c r="G100" s="7">
        <f t="shared" si="2"/>
        <v>0</v>
      </c>
      <c r="H100" s="8" t="e">
        <f t="shared" si="3"/>
        <v>#DIV/0!</v>
      </c>
    </row>
    <row r="101" spans="1:8" x14ac:dyDescent="0.35">
      <c r="A101" s="15"/>
      <c r="B101" s="4"/>
      <c r="C101" s="6"/>
      <c r="D101" s="6"/>
      <c r="E101" s="6"/>
      <c r="F101" s="6"/>
      <c r="G101" s="7">
        <f t="shared" si="2"/>
        <v>0</v>
      </c>
      <c r="H101" s="8" t="e">
        <f t="shared" si="3"/>
        <v>#DIV/0!</v>
      </c>
    </row>
    <row r="102" spans="1:8" x14ac:dyDescent="0.35">
      <c r="A102" s="15"/>
      <c r="B102" s="4"/>
      <c r="C102" s="6"/>
      <c r="D102" s="6"/>
      <c r="E102" s="6"/>
      <c r="F102" s="6"/>
      <c r="G102" s="7">
        <f t="shared" si="2"/>
        <v>0</v>
      </c>
      <c r="H102" s="8" t="e">
        <f t="shared" si="3"/>
        <v>#DIV/0!</v>
      </c>
    </row>
    <row r="103" spans="1:8" x14ac:dyDescent="0.35">
      <c r="A103" s="15"/>
      <c r="B103" s="4"/>
      <c r="C103" s="6"/>
      <c r="D103" s="6"/>
      <c r="E103" s="6"/>
      <c r="F103" s="6"/>
      <c r="G103" s="7">
        <f t="shared" si="2"/>
        <v>0</v>
      </c>
      <c r="H103" s="8" t="e">
        <f t="shared" si="3"/>
        <v>#DIV/0!</v>
      </c>
    </row>
    <row r="104" spans="1:8" x14ac:dyDescent="0.35">
      <c r="A104" s="15"/>
      <c r="B104" s="4"/>
      <c r="C104" s="6"/>
      <c r="D104" s="6"/>
      <c r="E104" s="6"/>
      <c r="F104" s="6"/>
      <c r="G104" s="7">
        <f t="shared" si="2"/>
        <v>0</v>
      </c>
      <c r="H104" s="8" t="e">
        <f t="shared" si="3"/>
        <v>#DIV/0!</v>
      </c>
    </row>
    <row r="105" spans="1:8" x14ac:dyDescent="0.35">
      <c r="A105" s="15"/>
      <c r="B105" s="4"/>
      <c r="C105" s="6"/>
      <c r="D105" s="6"/>
      <c r="E105" s="6"/>
      <c r="F105" s="6"/>
      <c r="G105" s="7">
        <f t="shared" si="2"/>
        <v>0</v>
      </c>
      <c r="H105" s="8" t="e">
        <f t="shared" si="3"/>
        <v>#DIV/0!</v>
      </c>
    </row>
    <row r="106" spans="1:8" x14ac:dyDescent="0.35">
      <c r="A106" s="15"/>
      <c r="B106" s="4"/>
      <c r="C106" s="6"/>
      <c r="D106" s="6"/>
      <c r="E106" s="6"/>
      <c r="F106" s="6"/>
      <c r="G106" s="7">
        <f t="shared" si="2"/>
        <v>0</v>
      </c>
      <c r="H106" s="8" t="e">
        <f t="shared" si="3"/>
        <v>#DIV/0!</v>
      </c>
    </row>
    <row r="107" spans="1:8" x14ac:dyDescent="0.35">
      <c r="A107" s="15"/>
      <c r="B107" s="4"/>
      <c r="C107" s="6"/>
      <c r="D107" s="6"/>
      <c r="E107" s="6"/>
      <c r="F107" s="6"/>
      <c r="G107" s="7">
        <f t="shared" si="2"/>
        <v>0</v>
      </c>
      <c r="H107" s="8" t="e">
        <f t="shared" si="3"/>
        <v>#DIV/0!</v>
      </c>
    </row>
    <row r="108" spans="1:8" x14ac:dyDescent="0.35">
      <c r="A108" s="15"/>
      <c r="B108" s="4"/>
      <c r="C108" s="6"/>
      <c r="D108" s="6"/>
      <c r="E108" s="6"/>
      <c r="F108" s="6"/>
      <c r="G108" s="7">
        <f t="shared" si="2"/>
        <v>0</v>
      </c>
      <c r="H108" s="8" t="e">
        <f t="shared" si="3"/>
        <v>#DIV/0!</v>
      </c>
    </row>
    <row r="109" spans="1:8" x14ac:dyDescent="0.35">
      <c r="A109" s="15"/>
      <c r="B109" s="4"/>
      <c r="C109" s="6"/>
      <c r="D109" s="6"/>
      <c r="E109" s="6"/>
      <c r="F109" s="6"/>
      <c r="G109" s="7">
        <f t="shared" si="2"/>
        <v>0</v>
      </c>
      <c r="H109" s="8" t="e">
        <f t="shared" si="3"/>
        <v>#DIV/0!</v>
      </c>
    </row>
    <row r="110" spans="1:8" x14ac:dyDescent="0.35">
      <c r="A110" s="15"/>
      <c r="B110" s="4"/>
      <c r="C110" s="6"/>
      <c r="D110" s="6"/>
      <c r="E110" s="6"/>
      <c r="F110" s="6"/>
      <c r="G110" s="7">
        <f t="shared" si="2"/>
        <v>0</v>
      </c>
      <c r="H110" s="8" t="e">
        <f t="shared" si="3"/>
        <v>#DIV/0!</v>
      </c>
    </row>
    <row r="111" spans="1:8" x14ac:dyDescent="0.35">
      <c r="A111" s="15"/>
      <c r="B111" s="4"/>
      <c r="C111" s="6"/>
      <c r="D111" s="6"/>
      <c r="E111" s="6"/>
      <c r="F111" s="6"/>
      <c r="G111" s="7">
        <f t="shared" si="2"/>
        <v>0</v>
      </c>
      <c r="H111" s="8" t="e">
        <f t="shared" si="3"/>
        <v>#DIV/0!</v>
      </c>
    </row>
    <row r="112" spans="1:8" x14ac:dyDescent="0.35">
      <c r="A112" s="15"/>
      <c r="B112" s="4"/>
      <c r="C112" s="6"/>
      <c r="D112" s="6"/>
      <c r="E112" s="6"/>
      <c r="F112" s="6"/>
      <c r="G112" s="7">
        <f t="shared" si="2"/>
        <v>0</v>
      </c>
      <c r="H112" s="8" t="e">
        <f t="shared" si="3"/>
        <v>#DIV/0!</v>
      </c>
    </row>
    <row r="113" spans="1:8" x14ac:dyDescent="0.35">
      <c r="A113" s="15"/>
      <c r="B113" s="4"/>
      <c r="C113" s="6"/>
      <c r="D113" s="6"/>
      <c r="E113" s="6"/>
      <c r="F113" s="6"/>
      <c r="G113" s="7">
        <f t="shared" si="2"/>
        <v>0</v>
      </c>
      <c r="H113" s="8" t="e">
        <f t="shared" si="3"/>
        <v>#DIV/0!</v>
      </c>
    </row>
    <row r="114" spans="1:8" x14ac:dyDescent="0.35">
      <c r="A114" s="15"/>
      <c r="B114" s="4"/>
      <c r="C114" s="6"/>
      <c r="D114" s="6"/>
      <c r="E114" s="6"/>
      <c r="F114" s="6"/>
      <c r="G114" s="7">
        <f t="shared" si="2"/>
        <v>0</v>
      </c>
      <c r="H114" s="8" t="e">
        <f t="shared" si="3"/>
        <v>#DIV/0!</v>
      </c>
    </row>
    <row r="115" spans="1:8" x14ac:dyDescent="0.35">
      <c r="A115" s="15"/>
      <c r="B115" s="4"/>
      <c r="C115" s="6"/>
      <c r="D115" s="6"/>
      <c r="E115" s="6"/>
      <c r="F115" s="6"/>
      <c r="G115" s="7">
        <f t="shared" si="2"/>
        <v>0</v>
      </c>
      <c r="H115" s="8" t="e">
        <f t="shared" si="3"/>
        <v>#DIV/0!</v>
      </c>
    </row>
    <row r="116" spans="1:8" x14ac:dyDescent="0.35">
      <c r="A116" s="15"/>
      <c r="B116" s="4"/>
      <c r="C116" s="6"/>
      <c r="D116" s="6"/>
      <c r="E116" s="6"/>
      <c r="F116" s="6"/>
      <c r="G116" s="7">
        <f t="shared" si="2"/>
        <v>0</v>
      </c>
      <c r="H116" s="8" t="e">
        <f t="shared" si="3"/>
        <v>#DIV/0!</v>
      </c>
    </row>
    <row r="117" spans="1:8" x14ac:dyDescent="0.35">
      <c r="A117" s="15"/>
      <c r="B117" s="4"/>
      <c r="C117" s="6"/>
      <c r="D117" s="6"/>
      <c r="E117" s="6"/>
      <c r="F117" s="6"/>
      <c r="G117" s="7">
        <f t="shared" si="2"/>
        <v>0</v>
      </c>
      <c r="H117" s="8" t="e">
        <f t="shared" si="3"/>
        <v>#DIV/0!</v>
      </c>
    </row>
    <row r="118" spans="1:8" x14ac:dyDescent="0.35">
      <c r="A118" s="15"/>
      <c r="B118" s="4"/>
      <c r="C118" s="6"/>
      <c r="D118" s="6"/>
      <c r="E118" s="6"/>
      <c r="F118" s="6"/>
      <c r="G118" s="7">
        <f t="shared" si="2"/>
        <v>0</v>
      </c>
      <c r="H118" s="8" t="e">
        <f t="shared" si="3"/>
        <v>#DIV/0!</v>
      </c>
    </row>
    <row r="119" spans="1:8" x14ac:dyDescent="0.35">
      <c r="A119" s="15"/>
      <c r="B119" s="4"/>
      <c r="C119" s="6"/>
      <c r="D119" s="6"/>
      <c r="E119" s="6"/>
      <c r="F119" s="6"/>
      <c r="G119" s="7">
        <f t="shared" si="2"/>
        <v>0</v>
      </c>
      <c r="H119" s="8" t="e">
        <f t="shared" si="3"/>
        <v>#DIV/0!</v>
      </c>
    </row>
    <row r="120" spans="1:8" x14ac:dyDescent="0.35">
      <c r="A120" s="15"/>
      <c r="B120" s="4"/>
      <c r="C120" s="6"/>
      <c r="D120" s="6"/>
      <c r="E120" s="6"/>
      <c r="F120" s="6"/>
      <c r="G120" s="7">
        <f t="shared" si="2"/>
        <v>0</v>
      </c>
      <c r="H120" s="8" t="e">
        <f t="shared" si="3"/>
        <v>#DIV/0!</v>
      </c>
    </row>
    <row r="121" spans="1:8" x14ac:dyDescent="0.35">
      <c r="A121" s="15"/>
      <c r="B121" s="4"/>
      <c r="C121" s="6"/>
      <c r="D121" s="6"/>
      <c r="E121" s="6"/>
      <c r="F121" s="6"/>
      <c r="G121" s="7">
        <f t="shared" si="2"/>
        <v>0</v>
      </c>
      <c r="H121" s="8" t="e">
        <f t="shared" si="3"/>
        <v>#DIV/0!</v>
      </c>
    </row>
    <row r="122" spans="1:8" x14ac:dyDescent="0.35">
      <c r="A122" s="15"/>
      <c r="B122" s="4"/>
      <c r="C122" s="6"/>
      <c r="D122" s="6"/>
      <c r="E122" s="6"/>
      <c r="F122" s="6"/>
      <c r="G122" s="7">
        <f t="shared" si="2"/>
        <v>0</v>
      </c>
      <c r="H122" s="8" t="e">
        <f t="shared" si="3"/>
        <v>#DIV/0!</v>
      </c>
    </row>
    <row r="123" spans="1:8" x14ac:dyDescent="0.35">
      <c r="A123" s="15"/>
      <c r="B123" s="4"/>
      <c r="C123" s="6"/>
      <c r="D123" s="6"/>
      <c r="E123" s="6"/>
      <c r="F123" s="6"/>
      <c r="G123" s="7">
        <f t="shared" si="2"/>
        <v>0</v>
      </c>
      <c r="H123" s="8" t="e">
        <f t="shared" si="3"/>
        <v>#DIV/0!</v>
      </c>
    </row>
    <row r="124" spans="1:8" x14ac:dyDescent="0.35">
      <c r="A124" s="15"/>
      <c r="B124" s="4"/>
      <c r="C124" s="6"/>
      <c r="D124" s="6"/>
      <c r="E124" s="6"/>
      <c r="F124" s="6"/>
      <c r="G124" s="7">
        <f t="shared" si="2"/>
        <v>0</v>
      </c>
      <c r="H124" s="8" t="e">
        <f t="shared" si="3"/>
        <v>#DIV/0!</v>
      </c>
    </row>
    <row r="125" spans="1:8" x14ac:dyDescent="0.35">
      <c r="A125" s="15"/>
      <c r="B125" s="4"/>
      <c r="C125" s="6"/>
      <c r="D125" s="6"/>
      <c r="E125" s="6"/>
      <c r="F125" s="6"/>
      <c r="G125" s="7">
        <f t="shared" si="2"/>
        <v>0</v>
      </c>
      <c r="H125" s="8" t="e">
        <f t="shared" si="3"/>
        <v>#DIV/0!</v>
      </c>
    </row>
    <row r="126" spans="1:8" x14ac:dyDescent="0.35">
      <c r="A126" s="15"/>
      <c r="B126" s="4"/>
      <c r="C126" s="6"/>
      <c r="D126" s="6"/>
      <c r="E126" s="6"/>
      <c r="F126" s="6"/>
      <c r="G126" s="7">
        <f t="shared" si="2"/>
        <v>0</v>
      </c>
      <c r="H126" s="8" t="e">
        <f t="shared" si="3"/>
        <v>#DIV/0!</v>
      </c>
    </row>
    <row r="127" spans="1:8" x14ac:dyDescent="0.35">
      <c r="A127" s="15"/>
      <c r="B127" s="4"/>
      <c r="C127" s="6"/>
      <c r="D127" s="6"/>
      <c r="E127" s="6"/>
      <c r="F127" s="6"/>
      <c r="G127" s="7">
        <f t="shared" si="2"/>
        <v>0</v>
      </c>
      <c r="H127" s="8" t="e">
        <f t="shared" si="3"/>
        <v>#DIV/0!</v>
      </c>
    </row>
    <row r="128" spans="1:8" x14ac:dyDescent="0.35">
      <c r="A128" s="15"/>
      <c r="B128" s="4"/>
      <c r="C128" s="6"/>
      <c r="D128" s="6"/>
      <c r="E128" s="6"/>
      <c r="F128" s="6"/>
      <c r="G128" s="7">
        <f t="shared" si="2"/>
        <v>0</v>
      </c>
      <c r="H128" s="8" t="e">
        <f t="shared" si="3"/>
        <v>#DIV/0!</v>
      </c>
    </row>
  </sheetData>
  <mergeCells count="2">
    <mergeCell ref="A1:H1"/>
    <mergeCell ref="J3:K3"/>
  </mergeCells>
  <phoneticPr fontId="2" type="noConversion"/>
  <dataValidations count="1">
    <dataValidation type="list" allowBlank="1" showInputMessage="1" showErrorMessage="1" sqref="A4:A128" xr:uid="{F20E03B1-939C-4995-BADB-E0CB1BDF8858}">
      <formula1>$J$4:$J$15</formula1>
    </dataValidation>
  </dataValidations>
  <hyperlinks>
    <hyperlink ref="C4" r:id="rId1" xr:uid="{145FCA99-1273-433C-AA48-6FEB106D9153}"/>
    <hyperlink ref="C5:C14" r:id="rId2" display="https://www.seminte1.eu/seminte-rosii" xr:uid="{34DDD3D8-82FC-44FC-BC46-18DB4A013CA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7F36-5270-44CB-8AF5-B508A07136FA}">
  <dimension ref="A1:K128"/>
  <sheetViews>
    <sheetView topLeftCell="C1" workbookViewId="0">
      <selection activeCell="J15" sqref="J15"/>
    </sheetView>
  </sheetViews>
  <sheetFormatPr defaultRowHeight="14.5" x14ac:dyDescent="0.35"/>
  <cols>
    <col min="1" max="1" width="15.6328125" customWidth="1"/>
    <col min="2" max="2" width="20.6328125" style="2" customWidth="1"/>
    <col min="3" max="3" width="53.453125" customWidth="1"/>
    <col min="4" max="6" width="15.6328125" customWidth="1"/>
    <col min="7" max="8" width="20.6328125" customWidth="1"/>
    <col min="10" max="11" width="15.6328125" customWidth="1"/>
  </cols>
  <sheetData>
    <row r="1" spans="1:11" ht="18.5" x14ac:dyDescent="0.45">
      <c r="A1" s="38" t="s">
        <v>37</v>
      </c>
      <c r="B1" s="40"/>
      <c r="C1" s="40"/>
      <c r="D1" s="40"/>
      <c r="E1" s="40"/>
      <c r="F1" s="40"/>
      <c r="G1" s="40"/>
      <c r="H1" s="40"/>
      <c r="I1" s="40"/>
    </row>
    <row r="3" spans="1:11" ht="16" x14ac:dyDescent="0.4">
      <c r="A3" s="3" t="s">
        <v>15</v>
      </c>
      <c r="B3" s="3" t="s">
        <v>38</v>
      </c>
      <c r="C3" s="3" t="s">
        <v>17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J3" s="39" t="s">
        <v>44</v>
      </c>
      <c r="K3" s="39"/>
    </row>
    <row r="4" spans="1:11" x14ac:dyDescent="0.35">
      <c r="A4" s="15" t="s">
        <v>4</v>
      </c>
      <c r="B4" s="4" t="s">
        <v>1</v>
      </c>
      <c r="C4" s="5" t="s">
        <v>2</v>
      </c>
      <c r="D4" s="5">
        <v>2</v>
      </c>
      <c r="E4" s="6">
        <v>10</v>
      </c>
      <c r="F4" s="6">
        <v>150</v>
      </c>
      <c r="G4" s="7">
        <f>D4*F4</f>
        <v>300</v>
      </c>
      <c r="H4" s="8">
        <f>F4/E4</f>
        <v>15</v>
      </c>
      <c r="J4" s="10" t="s">
        <v>4</v>
      </c>
      <c r="K4" s="11">
        <f>SUMIF(A4:A128,"JAN",G4:G128)</f>
        <v>4500</v>
      </c>
    </row>
    <row r="5" spans="1:11" x14ac:dyDescent="0.35">
      <c r="A5" s="15" t="s">
        <v>5</v>
      </c>
      <c r="B5" s="4" t="s">
        <v>3</v>
      </c>
      <c r="C5" s="5" t="s">
        <v>2</v>
      </c>
      <c r="D5" s="6">
        <v>5</v>
      </c>
      <c r="E5" s="6">
        <v>60</v>
      </c>
      <c r="F5" s="6">
        <v>200</v>
      </c>
      <c r="G5" s="7">
        <f t="shared" ref="G5:G68" si="0">D5*F5</f>
        <v>1000</v>
      </c>
      <c r="H5" s="8">
        <f t="shared" ref="H5:H68" si="1">F5/E5</f>
        <v>3.3333333333333335</v>
      </c>
      <c r="J5" s="10" t="s">
        <v>5</v>
      </c>
      <c r="K5" s="11">
        <f>SUMIF(A4:A129,"FEB",G4:G129)</f>
        <v>1000</v>
      </c>
    </row>
    <row r="6" spans="1:11" x14ac:dyDescent="0.35">
      <c r="A6" s="15" t="s">
        <v>6</v>
      </c>
      <c r="B6" s="4" t="s">
        <v>45</v>
      </c>
      <c r="C6" s="5" t="s">
        <v>2</v>
      </c>
      <c r="D6" s="6">
        <v>4</v>
      </c>
      <c r="E6" s="6">
        <v>4</v>
      </c>
      <c r="F6" s="6">
        <v>900</v>
      </c>
      <c r="G6" s="7">
        <f t="shared" si="0"/>
        <v>3600</v>
      </c>
      <c r="H6" s="8">
        <f t="shared" si="1"/>
        <v>225</v>
      </c>
      <c r="J6" s="10" t="s">
        <v>6</v>
      </c>
      <c r="K6" s="11">
        <f>SUMIF(A4:A130,"MAR",G4:G130)</f>
        <v>3600</v>
      </c>
    </row>
    <row r="7" spans="1:11" x14ac:dyDescent="0.35">
      <c r="A7" s="15" t="s">
        <v>24</v>
      </c>
      <c r="B7" s="4" t="s">
        <v>46</v>
      </c>
      <c r="C7" s="5" t="s">
        <v>2</v>
      </c>
      <c r="D7" s="6">
        <v>5</v>
      </c>
      <c r="E7" s="6">
        <v>5</v>
      </c>
      <c r="F7" s="6">
        <v>400</v>
      </c>
      <c r="G7" s="7">
        <f t="shared" si="0"/>
        <v>2000</v>
      </c>
      <c r="H7" s="8">
        <f t="shared" si="1"/>
        <v>80</v>
      </c>
      <c r="J7" s="10" t="s">
        <v>7</v>
      </c>
      <c r="K7" s="11">
        <f>SUMIF(A4:A131,"APR",G4:G131)</f>
        <v>0</v>
      </c>
    </row>
    <row r="8" spans="1:11" x14ac:dyDescent="0.35">
      <c r="A8" s="15" t="s">
        <v>4</v>
      </c>
      <c r="B8" s="4" t="s">
        <v>47</v>
      </c>
      <c r="C8" s="5" t="s">
        <v>2</v>
      </c>
      <c r="D8" s="6">
        <v>3</v>
      </c>
      <c r="E8" s="6">
        <v>6</v>
      </c>
      <c r="F8" s="6">
        <v>1200</v>
      </c>
      <c r="G8" s="7">
        <f t="shared" si="0"/>
        <v>3600</v>
      </c>
      <c r="H8" s="8">
        <f t="shared" si="1"/>
        <v>200</v>
      </c>
      <c r="J8" s="10" t="s">
        <v>24</v>
      </c>
      <c r="K8" s="11">
        <f>SUMIF(A4:A132,"MAY",G4:G132)</f>
        <v>2000</v>
      </c>
    </row>
    <row r="9" spans="1:11" x14ac:dyDescent="0.35">
      <c r="A9" s="15" t="s">
        <v>4</v>
      </c>
      <c r="B9" s="4" t="s">
        <v>48</v>
      </c>
      <c r="C9" s="5" t="s">
        <v>2</v>
      </c>
      <c r="D9" s="6">
        <v>2</v>
      </c>
      <c r="E9" s="6">
        <v>7</v>
      </c>
      <c r="F9" s="6">
        <v>300</v>
      </c>
      <c r="G9" s="7">
        <f t="shared" si="0"/>
        <v>600</v>
      </c>
      <c r="H9" s="8">
        <f t="shared" si="1"/>
        <v>42.857142857142854</v>
      </c>
      <c r="J9" s="10" t="s">
        <v>32</v>
      </c>
      <c r="K9" s="11">
        <f>SUMIF(A4:A133,"JUNE",G4:G133)</f>
        <v>0</v>
      </c>
    </row>
    <row r="10" spans="1:11" x14ac:dyDescent="0.35">
      <c r="A10" s="15"/>
      <c r="B10" s="4"/>
      <c r="C10" s="6"/>
      <c r="D10" s="6"/>
      <c r="E10" s="6"/>
      <c r="F10" s="6"/>
      <c r="G10" s="7">
        <f t="shared" si="0"/>
        <v>0</v>
      </c>
      <c r="H10" s="8" t="e">
        <f t="shared" si="1"/>
        <v>#DIV/0!</v>
      </c>
      <c r="J10" s="10" t="s">
        <v>33</v>
      </c>
      <c r="K10" s="11">
        <f>SUMIF(A4:A134,"JULY",G4:G134)</f>
        <v>0</v>
      </c>
    </row>
    <row r="11" spans="1:11" x14ac:dyDescent="0.35">
      <c r="A11" s="15"/>
      <c r="B11" s="4"/>
      <c r="C11" s="6"/>
      <c r="D11" s="6"/>
      <c r="E11" s="6"/>
      <c r="F11" s="6"/>
      <c r="G11" s="7">
        <f t="shared" si="0"/>
        <v>0</v>
      </c>
      <c r="H11" s="8" t="e">
        <f t="shared" si="1"/>
        <v>#DIV/0!</v>
      </c>
      <c r="J11" s="10" t="s">
        <v>8</v>
      </c>
      <c r="K11" s="11">
        <f>SUMIF(A4:A135,"AUG",G4:G135)</f>
        <v>0</v>
      </c>
    </row>
    <row r="12" spans="1:11" x14ac:dyDescent="0.35">
      <c r="A12" s="15"/>
      <c r="B12" s="4"/>
      <c r="C12" s="6"/>
      <c r="D12" s="6"/>
      <c r="E12" s="6"/>
      <c r="F12" s="6"/>
      <c r="G12" s="7">
        <f t="shared" si="0"/>
        <v>0</v>
      </c>
      <c r="H12" s="8" t="e">
        <f t="shared" si="1"/>
        <v>#DIV/0!</v>
      </c>
      <c r="J12" s="10" t="s">
        <v>9</v>
      </c>
      <c r="K12" s="11">
        <f>SUMIF(A4:A136,"SEPT",G4:G136)</f>
        <v>0</v>
      </c>
    </row>
    <row r="13" spans="1:11" x14ac:dyDescent="0.35">
      <c r="A13" s="15"/>
      <c r="B13" s="4"/>
      <c r="C13" s="6"/>
      <c r="D13" s="6"/>
      <c r="E13" s="6"/>
      <c r="F13" s="6"/>
      <c r="G13" s="7">
        <f t="shared" si="0"/>
        <v>0</v>
      </c>
      <c r="H13" s="8" t="e">
        <f t="shared" si="1"/>
        <v>#DIV/0!</v>
      </c>
      <c r="J13" s="10" t="s">
        <v>31</v>
      </c>
      <c r="K13" s="11">
        <f>SUMIF(A4:A137,"OCT",G4:G137)</f>
        <v>0</v>
      </c>
    </row>
    <row r="14" spans="1:11" x14ac:dyDescent="0.35">
      <c r="A14" s="15"/>
      <c r="B14" s="4"/>
      <c r="C14" s="6"/>
      <c r="D14" s="6"/>
      <c r="E14" s="6"/>
      <c r="F14" s="6"/>
      <c r="G14" s="7">
        <f t="shared" si="0"/>
        <v>0</v>
      </c>
      <c r="H14" s="8" t="e">
        <f t="shared" si="1"/>
        <v>#DIV/0!</v>
      </c>
      <c r="J14" s="10" t="s">
        <v>10</v>
      </c>
      <c r="K14" s="11">
        <f>SUMIF(A4:A138,"NOV",G4:G138)</f>
        <v>0</v>
      </c>
    </row>
    <row r="15" spans="1:11" x14ac:dyDescent="0.35">
      <c r="A15" s="15"/>
      <c r="B15" s="4"/>
      <c r="C15" s="6"/>
      <c r="D15" s="6"/>
      <c r="E15" s="6"/>
      <c r="F15" s="6"/>
      <c r="G15" s="7">
        <f t="shared" si="0"/>
        <v>0</v>
      </c>
      <c r="H15" s="8" t="e">
        <f t="shared" si="1"/>
        <v>#DIV/0!</v>
      </c>
      <c r="J15" s="12" t="s">
        <v>11</v>
      </c>
      <c r="K15" s="13">
        <f>SUMIF(A4:A139,"DEC",G4:G139)</f>
        <v>0</v>
      </c>
    </row>
    <row r="16" spans="1:11" x14ac:dyDescent="0.35">
      <c r="A16" s="15"/>
      <c r="B16" s="4"/>
      <c r="C16" s="6"/>
      <c r="D16" s="6"/>
      <c r="E16" s="6"/>
      <c r="F16" s="6"/>
      <c r="G16" s="7">
        <f t="shared" si="0"/>
        <v>0</v>
      </c>
      <c r="H16" s="8" t="e">
        <f t="shared" si="1"/>
        <v>#DIV/0!</v>
      </c>
    </row>
    <row r="17" spans="1:8" x14ac:dyDescent="0.35">
      <c r="A17" s="15"/>
      <c r="B17" s="4"/>
      <c r="C17" s="6"/>
      <c r="D17" s="6"/>
      <c r="E17" s="6"/>
      <c r="F17" s="6"/>
      <c r="G17" s="7">
        <f t="shared" si="0"/>
        <v>0</v>
      </c>
      <c r="H17" s="8" t="e">
        <f t="shared" si="1"/>
        <v>#DIV/0!</v>
      </c>
    </row>
    <row r="18" spans="1:8" x14ac:dyDescent="0.35">
      <c r="A18" s="15"/>
      <c r="B18" s="4"/>
      <c r="C18" s="6"/>
      <c r="D18" s="6"/>
      <c r="E18" s="6"/>
      <c r="F18" s="6"/>
      <c r="G18" s="7">
        <f t="shared" si="0"/>
        <v>0</v>
      </c>
      <c r="H18" s="8" t="e">
        <f t="shared" si="1"/>
        <v>#DIV/0!</v>
      </c>
    </row>
    <row r="19" spans="1:8" x14ac:dyDescent="0.35">
      <c r="A19" s="15"/>
      <c r="B19" s="4"/>
      <c r="C19" s="6"/>
      <c r="D19" s="6"/>
      <c r="E19" s="6"/>
      <c r="F19" s="6"/>
      <c r="G19" s="7">
        <f t="shared" si="0"/>
        <v>0</v>
      </c>
      <c r="H19" s="8" t="e">
        <f t="shared" si="1"/>
        <v>#DIV/0!</v>
      </c>
    </row>
    <row r="20" spans="1:8" x14ac:dyDescent="0.35">
      <c r="A20" s="15"/>
      <c r="B20" s="4"/>
      <c r="C20" s="6"/>
      <c r="D20" s="6"/>
      <c r="E20" s="6"/>
      <c r="F20" s="6"/>
      <c r="G20" s="7">
        <f t="shared" si="0"/>
        <v>0</v>
      </c>
      <c r="H20" s="8" t="e">
        <f t="shared" si="1"/>
        <v>#DIV/0!</v>
      </c>
    </row>
    <row r="21" spans="1:8" x14ac:dyDescent="0.35">
      <c r="A21" s="15"/>
      <c r="B21" s="4"/>
      <c r="C21" s="6"/>
      <c r="D21" s="6"/>
      <c r="E21" s="6"/>
      <c r="F21" s="6"/>
      <c r="G21" s="7">
        <f t="shared" si="0"/>
        <v>0</v>
      </c>
      <c r="H21" s="8" t="e">
        <f t="shared" si="1"/>
        <v>#DIV/0!</v>
      </c>
    </row>
    <row r="22" spans="1:8" x14ac:dyDescent="0.35">
      <c r="A22" s="15"/>
      <c r="B22" s="4"/>
      <c r="C22" s="6"/>
      <c r="D22" s="6"/>
      <c r="E22" s="6"/>
      <c r="F22" s="6"/>
      <c r="G22" s="7">
        <f t="shared" si="0"/>
        <v>0</v>
      </c>
      <c r="H22" s="8" t="e">
        <f t="shared" si="1"/>
        <v>#DIV/0!</v>
      </c>
    </row>
    <row r="23" spans="1:8" x14ac:dyDescent="0.35">
      <c r="A23" s="15"/>
      <c r="B23" s="4"/>
      <c r="C23" s="6"/>
      <c r="D23" s="6"/>
      <c r="E23" s="6"/>
      <c r="F23" s="6"/>
      <c r="G23" s="7">
        <f t="shared" si="0"/>
        <v>0</v>
      </c>
      <c r="H23" s="8" t="e">
        <f t="shared" si="1"/>
        <v>#DIV/0!</v>
      </c>
    </row>
    <row r="24" spans="1:8" x14ac:dyDescent="0.35">
      <c r="A24" s="15"/>
      <c r="B24" s="4"/>
      <c r="C24" s="6"/>
      <c r="D24" s="6"/>
      <c r="E24" s="6"/>
      <c r="F24" s="6"/>
      <c r="G24" s="7">
        <f t="shared" si="0"/>
        <v>0</v>
      </c>
      <c r="H24" s="8" t="e">
        <f t="shared" si="1"/>
        <v>#DIV/0!</v>
      </c>
    </row>
    <row r="25" spans="1:8" x14ac:dyDescent="0.35">
      <c r="A25" s="15"/>
      <c r="B25" s="4"/>
      <c r="C25" s="6"/>
      <c r="D25" s="6"/>
      <c r="E25" s="6"/>
      <c r="F25" s="6"/>
      <c r="G25" s="7">
        <f t="shared" si="0"/>
        <v>0</v>
      </c>
      <c r="H25" s="8" t="e">
        <f t="shared" si="1"/>
        <v>#DIV/0!</v>
      </c>
    </row>
    <row r="26" spans="1:8" x14ac:dyDescent="0.35">
      <c r="A26" s="15"/>
      <c r="B26" s="4"/>
      <c r="C26" s="6"/>
      <c r="D26" s="6"/>
      <c r="E26" s="6"/>
      <c r="F26" s="6"/>
      <c r="G26" s="7">
        <f t="shared" si="0"/>
        <v>0</v>
      </c>
      <c r="H26" s="8" t="e">
        <f t="shared" si="1"/>
        <v>#DIV/0!</v>
      </c>
    </row>
    <row r="27" spans="1:8" x14ac:dyDescent="0.35">
      <c r="A27" s="15"/>
      <c r="B27" s="4"/>
      <c r="C27" s="6"/>
      <c r="D27" s="6"/>
      <c r="E27" s="6"/>
      <c r="F27" s="6"/>
      <c r="G27" s="7">
        <f t="shared" si="0"/>
        <v>0</v>
      </c>
      <c r="H27" s="8" t="e">
        <f t="shared" si="1"/>
        <v>#DIV/0!</v>
      </c>
    </row>
    <row r="28" spans="1:8" x14ac:dyDescent="0.35">
      <c r="A28" s="15"/>
      <c r="B28" s="4"/>
      <c r="C28" s="6"/>
      <c r="D28" s="6"/>
      <c r="E28" s="6"/>
      <c r="F28" s="6"/>
      <c r="G28" s="7">
        <f t="shared" si="0"/>
        <v>0</v>
      </c>
      <c r="H28" s="8" t="e">
        <f t="shared" si="1"/>
        <v>#DIV/0!</v>
      </c>
    </row>
    <row r="29" spans="1:8" x14ac:dyDescent="0.35">
      <c r="A29" s="15"/>
      <c r="B29" s="4"/>
      <c r="C29" s="6"/>
      <c r="D29" s="6"/>
      <c r="E29" s="6"/>
      <c r="F29" s="6"/>
      <c r="G29" s="7">
        <f t="shared" si="0"/>
        <v>0</v>
      </c>
      <c r="H29" s="8" t="e">
        <f t="shared" si="1"/>
        <v>#DIV/0!</v>
      </c>
    </row>
    <row r="30" spans="1:8" x14ac:dyDescent="0.35">
      <c r="A30" s="15"/>
      <c r="B30" s="4"/>
      <c r="C30" s="6"/>
      <c r="D30" s="6"/>
      <c r="E30" s="6"/>
      <c r="F30" s="6"/>
      <c r="G30" s="7">
        <f t="shared" si="0"/>
        <v>0</v>
      </c>
      <c r="H30" s="8" t="e">
        <f t="shared" si="1"/>
        <v>#DIV/0!</v>
      </c>
    </row>
    <row r="31" spans="1:8" x14ac:dyDescent="0.35">
      <c r="A31" s="15"/>
      <c r="B31" s="4"/>
      <c r="C31" s="6"/>
      <c r="D31" s="6"/>
      <c r="E31" s="6"/>
      <c r="F31" s="6"/>
      <c r="G31" s="7">
        <f t="shared" si="0"/>
        <v>0</v>
      </c>
      <c r="H31" s="8" t="e">
        <f t="shared" si="1"/>
        <v>#DIV/0!</v>
      </c>
    </row>
    <row r="32" spans="1:8" x14ac:dyDescent="0.35">
      <c r="A32" s="15"/>
      <c r="B32" s="4"/>
      <c r="C32" s="6"/>
      <c r="D32" s="6"/>
      <c r="E32" s="6"/>
      <c r="F32" s="6"/>
      <c r="G32" s="7">
        <f t="shared" si="0"/>
        <v>0</v>
      </c>
      <c r="H32" s="8" t="e">
        <f t="shared" si="1"/>
        <v>#DIV/0!</v>
      </c>
    </row>
    <row r="33" spans="1:8" x14ac:dyDescent="0.35">
      <c r="A33" s="15"/>
      <c r="B33" s="4"/>
      <c r="C33" s="6"/>
      <c r="D33" s="6"/>
      <c r="E33" s="6"/>
      <c r="F33" s="6"/>
      <c r="G33" s="7">
        <f t="shared" si="0"/>
        <v>0</v>
      </c>
      <c r="H33" s="8" t="e">
        <f t="shared" si="1"/>
        <v>#DIV/0!</v>
      </c>
    </row>
    <row r="34" spans="1:8" x14ac:dyDescent="0.35">
      <c r="A34" s="15"/>
      <c r="B34" s="4"/>
      <c r="C34" s="6"/>
      <c r="D34" s="6"/>
      <c r="E34" s="6"/>
      <c r="F34" s="6"/>
      <c r="G34" s="7">
        <f t="shared" si="0"/>
        <v>0</v>
      </c>
      <c r="H34" s="8" t="e">
        <f t="shared" si="1"/>
        <v>#DIV/0!</v>
      </c>
    </row>
    <row r="35" spans="1:8" x14ac:dyDescent="0.35">
      <c r="A35" s="15"/>
      <c r="B35" s="4"/>
      <c r="C35" s="6"/>
      <c r="D35" s="6"/>
      <c r="E35" s="6"/>
      <c r="F35" s="6"/>
      <c r="G35" s="7">
        <f t="shared" si="0"/>
        <v>0</v>
      </c>
      <c r="H35" s="8" t="e">
        <f t="shared" si="1"/>
        <v>#DIV/0!</v>
      </c>
    </row>
    <row r="36" spans="1:8" x14ac:dyDescent="0.35">
      <c r="A36" s="15"/>
      <c r="B36" s="4"/>
      <c r="C36" s="6"/>
      <c r="D36" s="6"/>
      <c r="E36" s="6"/>
      <c r="F36" s="6"/>
      <c r="G36" s="7">
        <f t="shared" si="0"/>
        <v>0</v>
      </c>
      <c r="H36" s="8" t="e">
        <f t="shared" si="1"/>
        <v>#DIV/0!</v>
      </c>
    </row>
    <row r="37" spans="1:8" x14ac:dyDescent="0.35">
      <c r="A37" s="15"/>
      <c r="B37" s="4"/>
      <c r="C37" s="6"/>
      <c r="D37" s="6"/>
      <c r="E37" s="6"/>
      <c r="F37" s="6"/>
      <c r="G37" s="7">
        <f t="shared" si="0"/>
        <v>0</v>
      </c>
      <c r="H37" s="8" t="e">
        <f t="shared" si="1"/>
        <v>#DIV/0!</v>
      </c>
    </row>
    <row r="38" spans="1:8" x14ac:dyDescent="0.35">
      <c r="A38" s="15"/>
      <c r="B38" s="4"/>
      <c r="C38" s="6"/>
      <c r="D38" s="6"/>
      <c r="E38" s="6"/>
      <c r="F38" s="6"/>
      <c r="G38" s="7">
        <f t="shared" si="0"/>
        <v>0</v>
      </c>
      <c r="H38" s="8" t="e">
        <f t="shared" si="1"/>
        <v>#DIV/0!</v>
      </c>
    </row>
    <row r="39" spans="1:8" x14ac:dyDescent="0.35">
      <c r="A39" s="15"/>
      <c r="B39" s="4"/>
      <c r="C39" s="6"/>
      <c r="D39" s="6"/>
      <c r="E39" s="6"/>
      <c r="F39" s="6"/>
      <c r="G39" s="7">
        <f t="shared" si="0"/>
        <v>0</v>
      </c>
      <c r="H39" s="8" t="e">
        <f t="shared" si="1"/>
        <v>#DIV/0!</v>
      </c>
    </row>
    <row r="40" spans="1:8" x14ac:dyDescent="0.35">
      <c r="A40" s="15"/>
      <c r="B40" s="4"/>
      <c r="C40" s="6"/>
      <c r="D40" s="6"/>
      <c r="E40" s="6"/>
      <c r="F40" s="6"/>
      <c r="G40" s="7">
        <f t="shared" si="0"/>
        <v>0</v>
      </c>
      <c r="H40" s="8" t="e">
        <f t="shared" si="1"/>
        <v>#DIV/0!</v>
      </c>
    </row>
    <row r="41" spans="1:8" x14ac:dyDescent="0.35">
      <c r="A41" s="15"/>
      <c r="B41" s="4"/>
      <c r="C41" s="6"/>
      <c r="D41" s="6"/>
      <c r="E41" s="6"/>
      <c r="F41" s="6"/>
      <c r="G41" s="7">
        <f t="shared" si="0"/>
        <v>0</v>
      </c>
      <c r="H41" s="8" t="e">
        <f t="shared" si="1"/>
        <v>#DIV/0!</v>
      </c>
    </row>
    <row r="42" spans="1:8" x14ac:dyDescent="0.35">
      <c r="A42" s="15"/>
      <c r="B42" s="4"/>
      <c r="C42" s="6"/>
      <c r="D42" s="6"/>
      <c r="E42" s="6"/>
      <c r="F42" s="6"/>
      <c r="G42" s="7">
        <f t="shared" si="0"/>
        <v>0</v>
      </c>
      <c r="H42" s="8" t="e">
        <f t="shared" si="1"/>
        <v>#DIV/0!</v>
      </c>
    </row>
    <row r="43" spans="1:8" x14ac:dyDescent="0.35">
      <c r="A43" s="15"/>
      <c r="B43" s="4"/>
      <c r="C43" s="6"/>
      <c r="D43" s="6"/>
      <c r="E43" s="6"/>
      <c r="F43" s="6"/>
      <c r="G43" s="7">
        <f t="shared" si="0"/>
        <v>0</v>
      </c>
      <c r="H43" s="8" t="e">
        <f t="shared" si="1"/>
        <v>#DIV/0!</v>
      </c>
    </row>
    <row r="44" spans="1:8" x14ac:dyDescent="0.35">
      <c r="A44" s="15"/>
      <c r="B44" s="4"/>
      <c r="C44" s="6"/>
      <c r="D44" s="6"/>
      <c r="E44" s="6"/>
      <c r="F44" s="6"/>
      <c r="G44" s="7">
        <f t="shared" si="0"/>
        <v>0</v>
      </c>
      <c r="H44" s="8" t="e">
        <f t="shared" si="1"/>
        <v>#DIV/0!</v>
      </c>
    </row>
    <row r="45" spans="1:8" x14ac:dyDescent="0.35">
      <c r="A45" s="15"/>
      <c r="B45" s="4"/>
      <c r="C45" s="6"/>
      <c r="D45" s="6"/>
      <c r="E45" s="6"/>
      <c r="F45" s="6"/>
      <c r="G45" s="7">
        <f t="shared" si="0"/>
        <v>0</v>
      </c>
      <c r="H45" s="8" t="e">
        <f t="shared" si="1"/>
        <v>#DIV/0!</v>
      </c>
    </row>
    <row r="46" spans="1:8" x14ac:dyDescent="0.35">
      <c r="A46" s="15"/>
      <c r="B46" s="4"/>
      <c r="C46" s="6"/>
      <c r="D46" s="6"/>
      <c r="E46" s="6"/>
      <c r="F46" s="6"/>
      <c r="G46" s="7">
        <f t="shared" si="0"/>
        <v>0</v>
      </c>
      <c r="H46" s="8" t="e">
        <f t="shared" si="1"/>
        <v>#DIV/0!</v>
      </c>
    </row>
    <row r="47" spans="1:8" x14ac:dyDescent="0.35">
      <c r="A47" s="15"/>
      <c r="B47" s="4"/>
      <c r="C47" s="6"/>
      <c r="D47" s="6"/>
      <c r="E47" s="6"/>
      <c r="F47" s="6"/>
      <c r="G47" s="7">
        <f t="shared" si="0"/>
        <v>0</v>
      </c>
      <c r="H47" s="8" t="e">
        <f t="shared" si="1"/>
        <v>#DIV/0!</v>
      </c>
    </row>
    <row r="48" spans="1:8" x14ac:dyDescent="0.35">
      <c r="A48" s="15"/>
      <c r="B48" s="4"/>
      <c r="C48" s="6"/>
      <c r="D48" s="6"/>
      <c r="E48" s="6"/>
      <c r="F48" s="6"/>
      <c r="G48" s="7">
        <f t="shared" si="0"/>
        <v>0</v>
      </c>
      <c r="H48" s="8" t="e">
        <f t="shared" si="1"/>
        <v>#DIV/0!</v>
      </c>
    </row>
    <row r="49" spans="1:8" x14ac:dyDescent="0.35">
      <c r="A49" s="15"/>
      <c r="B49" s="4"/>
      <c r="C49" s="6"/>
      <c r="D49" s="6"/>
      <c r="E49" s="6"/>
      <c r="F49" s="6"/>
      <c r="G49" s="7">
        <f t="shared" si="0"/>
        <v>0</v>
      </c>
      <c r="H49" s="8" t="e">
        <f t="shared" si="1"/>
        <v>#DIV/0!</v>
      </c>
    </row>
    <row r="50" spans="1:8" x14ac:dyDescent="0.35">
      <c r="A50" s="15"/>
      <c r="B50" s="4"/>
      <c r="C50" s="6"/>
      <c r="D50" s="6"/>
      <c r="E50" s="6"/>
      <c r="F50" s="6"/>
      <c r="G50" s="7">
        <f t="shared" si="0"/>
        <v>0</v>
      </c>
      <c r="H50" s="8" t="e">
        <f t="shared" si="1"/>
        <v>#DIV/0!</v>
      </c>
    </row>
    <row r="51" spans="1:8" x14ac:dyDescent="0.35">
      <c r="A51" s="15"/>
      <c r="B51" s="4"/>
      <c r="C51" s="6"/>
      <c r="D51" s="6"/>
      <c r="E51" s="6"/>
      <c r="F51" s="6"/>
      <c r="G51" s="7">
        <f t="shared" si="0"/>
        <v>0</v>
      </c>
      <c r="H51" s="8" t="e">
        <f t="shared" si="1"/>
        <v>#DIV/0!</v>
      </c>
    </row>
    <row r="52" spans="1:8" x14ac:dyDescent="0.35">
      <c r="A52" s="15"/>
      <c r="B52" s="4"/>
      <c r="C52" s="6"/>
      <c r="D52" s="6"/>
      <c r="E52" s="6"/>
      <c r="F52" s="6"/>
      <c r="G52" s="7">
        <f t="shared" si="0"/>
        <v>0</v>
      </c>
      <c r="H52" s="8" t="e">
        <f t="shared" si="1"/>
        <v>#DIV/0!</v>
      </c>
    </row>
    <row r="53" spans="1:8" x14ac:dyDescent="0.35">
      <c r="A53" s="15"/>
      <c r="B53" s="4"/>
      <c r="C53" s="6"/>
      <c r="D53" s="6"/>
      <c r="E53" s="6"/>
      <c r="F53" s="6"/>
      <c r="G53" s="7">
        <f t="shared" si="0"/>
        <v>0</v>
      </c>
      <c r="H53" s="8" t="e">
        <f t="shared" si="1"/>
        <v>#DIV/0!</v>
      </c>
    </row>
    <row r="54" spans="1:8" x14ac:dyDescent="0.35">
      <c r="A54" s="15"/>
      <c r="B54" s="4"/>
      <c r="C54" s="6"/>
      <c r="D54" s="6"/>
      <c r="E54" s="6"/>
      <c r="F54" s="6"/>
      <c r="G54" s="7">
        <f t="shared" si="0"/>
        <v>0</v>
      </c>
      <c r="H54" s="8" t="e">
        <f t="shared" si="1"/>
        <v>#DIV/0!</v>
      </c>
    </row>
    <row r="55" spans="1:8" x14ac:dyDescent="0.35">
      <c r="A55" s="15"/>
      <c r="B55" s="4"/>
      <c r="C55" s="6"/>
      <c r="D55" s="6"/>
      <c r="E55" s="6"/>
      <c r="F55" s="6"/>
      <c r="G55" s="7">
        <f t="shared" si="0"/>
        <v>0</v>
      </c>
      <c r="H55" s="8" t="e">
        <f t="shared" si="1"/>
        <v>#DIV/0!</v>
      </c>
    </row>
    <row r="56" spans="1:8" x14ac:dyDescent="0.35">
      <c r="A56" s="15"/>
      <c r="B56" s="4"/>
      <c r="C56" s="6"/>
      <c r="D56" s="6"/>
      <c r="E56" s="6"/>
      <c r="F56" s="6"/>
      <c r="G56" s="7">
        <f t="shared" si="0"/>
        <v>0</v>
      </c>
      <c r="H56" s="8" t="e">
        <f t="shared" si="1"/>
        <v>#DIV/0!</v>
      </c>
    </row>
    <row r="57" spans="1:8" x14ac:dyDescent="0.35">
      <c r="A57" s="15"/>
      <c r="B57" s="4"/>
      <c r="C57" s="6"/>
      <c r="D57" s="6"/>
      <c r="E57" s="6"/>
      <c r="F57" s="6"/>
      <c r="G57" s="7">
        <f t="shared" si="0"/>
        <v>0</v>
      </c>
      <c r="H57" s="8" t="e">
        <f t="shared" si="1"/>
        <v>#DIV/0!</v>
      </c>
    </row>
    <row r="58" spans="1:8" x14ac:dyDescent="0.35">
      <c r="A58" s="15"/>
      <c r="B58" s="4"/>
      <c r="C58" s="6"/>
      <c r="D58" s="6"/>
      <c r="E58" s="6"/>
      <c r="F58" s="6"/>
      <c r="G58" s="7">
        <f t="shared" si="0"/>
        <v>0</v>
      </c>
      <c r="H58" s="8" t="e">
        <f t="shared" si="1"/>
        <v>#DIV/0!</v>
      </c>
    </row>
    <row r="59" spans="1:8" x14ac:dyDescent="0.35">
      <c r="A59" s="15"/>
      <c r="B59" s="4"/>
      <c r="C59" s="6"/>
      <c r="D59" s="6"/>
      <c r="E59" s="6"/>
      <c r="F59" s="6"/>
      <c r="G59" s="7">
        <f t="shared" si="0"/>
        <v>0</v>
      </c>
      <c r="H59" s="8" t="e">
        <f t="shared" si="1"/>
        <v>#DIV/0!</v>
      </c>
    </row>
    <row r="60" spans="1:8" x14ac:dyDescent="0.35">
      <c r="A60" s="15"/>
      <c r="B60" s="4"/>
      <c r="C60" s="6"/>
      <c r="D60" s="6"/>
      <c r="E60" s="6"/>
      <c r="F60" s="6"/>
      <c r="G60" s="7">
        <f t="shared" si="0"/>
        <v>0</v>
      </c>
      <c r="H60" s="8" t="e">
        <f t="shared" si="1"/>
        <v>#DIV/0!</v>
      </c>
    </row>
    <row r="61" spans="1:8" x14ac:dyDescent="0.35">
      <c r="A61" s="15"/>
      <c r="B61" s="4"/>
      <c r="C61" s="6"/>
      <c r="D61" s="6"/>
      <c r="E61" s="6"/>
      <c r="F61" s="6"/>
      <c r="G61" s="7">
        <f t="shared" si="0"/>
        <v>0</v>
      </c>
      <c r="H61" s="8" t="e">
        <f t="shared" si="1"/>
        <v>#DIV/0!</v>
      </c>
    </row>
    <row r="62" spans="1:8" x14ac:dyDescent="0.35">
      <c r="A62" s="15"/>
      <c r="B62" s="4"/>
      <c r="C62" s="6"/>
      <c r="D62" s="6"/>
      <c r="E62" s="6"/>
      <c r="F62" s="6"/>
      <c r="G62" s="7">
        <f t="shared" si="0"/>
        <v>0</v>
      </c>
      <c r="H62" s="8" t="e">
        <f t="shared" si="1"/>
        <v>#DIV/0!</v>
      </c>
    </row>
    <row r="63" spans="1:8" x14ac:dyDescent="0.35">
      <c r="A63" s="15"/>
      <c r="B63" s="4"/>
      <c r="C63" s="6"/>
      <c r="D63" s="6"/>
      <c r="E63" s="6"/>
      <c r="F63" s="6"/>
      <c r="G63" s="7">
        <f t="shared" si="0"/>
        <v>0</v>
      </c>
      <c r="H63" s="8" t="e">
        <f t="shared" si="1"/>
        <v>#DIV/0!</v>
      </c>
    </row>
    <row r="64" spans="1:8" x14ac:dyDescent="0.35">
      <c r="A64" s="15"/>
      <c r="B64" s="4"/>
      <c r="C64" s="6"/>
      <c r="D64" s="6"/>
      <c r="E64" s="6"/>
      <c r="F64" s="6"/>
      <c r="G64" s="7">
        <f t="shared" si="0"/>
        <v>0</v>
      </c>
      <c r="H64" s="8" t="e">
        <f t="shared" si="1"/>
        <v>#DIV/0!</v>
      </c>
    </row>
    <row r="65" spans="1:8" x14ac:dyDescent="0.35">
      <c r="A65" s="15"/>
      <c r="B65" s="4"/>
      <c r="C65" s="6"/>
      <c r="D65" s="6"/>
      <c r="E65" s="6"/>
      <c r="F65" s="6"/>
      <c r="G65" s="7">
        <f t="shared" si="0"/>
        <v>0</v>
      </c>
      <c r="H65" s="8" t="e">
        <f t="shared" si="1"/>
        <v>#DIV/0!</v>
      </c>
    </row>
    <row r="66" spans="1:8" x14ac:dyDescent="0.35">
      <c r="A66" s="15"/>
      <c r="B66" s="4"/>
      <c r="C66" s="6"/>
      <c r="D66" s="6"/>
      <c r="E66" s="6"/>
      <c r="F66" s="6"/>
      <c r="G66" s="7">
        <f t="shared" si="0"/>
        <v>0</v>
      </c>
      <c r="H66" s="8" t="e">
        <f t="shared" si="1"/>
        <v>#DIV/0!</v>
      </c>
    </row>
    <row r="67" spans="1:8" x14ac:dyDescent="0.35">
      <c r="A67" s="15"/>
      <c r="B67" s="4"/>
      <c r="C67" s="6"/>
      <c r="D67" s="6"/>
      <c r="E67" s="6"/>
      <c r="F67" s="6"/>
      <c r="G67" s="7">
        <f t="shared" si="0"/>
        <v>0</v>
      </c>
      <c r="H67" s="8" t="e">
        <f t="shared" si="1"/>
        <v>#DIV/0!</v>
      </c>
    </row>
    <row r="68" spans="1:8" x14ac:dyDescent="0.35">
      <c r="A68" s="15"/>
      <c r="B68" s="4"/>
      <c r="C68" s="6"/>
      <c r="D68" s="6"/>
      <c r="E68" s="6"/>
      <c r="F68" s="6"/>
      <c r="G68" s="7">
        <f t="shared" si="0"/>
        <v>0</v>
      </c>
      <c r="H68" s="8" t="e">
        <f t="shared" si="1"/>
        <v>#DIV/0!</v>
      </c>
    </row>
    <row r="69" spans="1:8" x14ac:dyDescent="0.35">
      <c r="A69" s="15"/>
      <c r="B69" s="4"/>
      <c r="C69" s="6"/>
      <c r="D69" s="6"/>
      <c r="E69" s="6"/>
      <c r="F69" s="6"/>
      <c r="G69" s="7">
        <f t="shared" ref="G69:G128" si="2">D69*F69</f>
        <v>0</v>
      </c>
      <c r="H69" s="8" t="e">
        <f t="shared" ref="H69:H128" si="3">F69/E69</f>
        <v>#DIV/0!</v>
      </c>
    </row>
    <row r="70" spans="1:8" x14ac:dyDescent="0.35">
      <c r="A70" s="15"/>
      <c r="B70" s="4"/>
      <c r="C70" s="6"/>
      <c r="D70" s="6"/>
      <c r="E70" s="6"/>
      <c r="F70" s="6"/>
      <c r="G70" s="7">
        <f t="shared" si="2"/>
        <v>0</v>
      </c>
      <c r="H70" s="8" t="e">
        <f t="shared" si="3"/>
        <v>#DIV/0!</v>
      </c>
    </row>
    <row r="71" spans="1:8" x14ac:dyDescent="0.35">
      <c r="A71" s="15"/>
      <c r="B71" s="4"/>
      <c r="C71" s="6"/>
      <c r="D71" s="6"/>
      <c r="E71" s="6"/>
      <c r="F71" s="6"/>
      <c r="G71" s="7">
        <f t="shared" si="2"/>
        <v>0</v>
      </c>
      <c r="H71" s="8" t="e">
        <f t="shared" si="3"/>
        <v>#DIV/0!</v>
      </c>
    </row>
    <row r="72" spans="1:8" x14ac:dyDescent="0.35">
      <c r="A72" s="15"/>
      <c r="B72" s="4"/>
      <c r="C72" s="6"/>
      <c r="D72" s="6"/>
      <c r="E72" s="6"/>
      <c r="F72" s="6"/>
      <c r="G72" s="7">
        <f t="shared" si="2"/>
        <v>0</v>
      </c>
      <c r="H72" s="8" t="e">
        <f t="shared" si="3"/>
        <v>#DIV/0!</v>
      </c>
    </row>
    <row r="73" spans="1:8" x14ac:dyDescent="0.35">
      <c r="A73" s="15"/>
      <c r="B73" s="4"/>
      <c r="C73" s="6"/>
      <c r="D73" s="6"/>
      <c r="E73" s="6"/>
      <c r="F73" s="6"/>
      <c r="G73" s="7">
        <f t="shared" si="2"/>
        <v>0</v>
      </c>
      <c r="H73" s="8" t="e">
        <f t="shared" si="3"/>
        <v>#DIV/0!</v>
      </c>
    </row>
    <row r="74" spans="1:8" x14ac:dyDescent="0.35">
      <c r="A74" s="15"/>
      <c r="B74" s="4"/>
      <c r="C74" s="6"/>
      <c r="D74" s="6"/>
      <c r="E74" s="6"/>
      <c r="F74" s="6"/>
      <c r="G74" s="7">
        <f t="shared" si="2"/>
        <v>0</v>
      </c>
      <c r="H74" s="8" t="e">
        <f t="shared" si="3"/>
        <v>#DIV/0!</v>
      </c>
    </row>
    <row r="75" spans="1:8" x14ac:dyDescent="0.35">
      <c r="A75" s="15"/>
      <c r="B75" s="4"/>
      <c r="C75" s="6"/>
      <c r="D75" s="6"/>
      <c r="E75" s="6"/>
      <c r="F75" s="6"/>
      <c r="G75" s="7">
        <f t="shared" si="2"/>
        <v>0</v>
      </c>
      <c r="H75" s="8" t="e">
        <f t="shared" si="3"/>
        <v>#DIV/0!</v>
      </c>
    </row>
    <row r="76" spans="1:8" x14ac:dyDescent="0.35">
      <c r="A76" s="15"/>
      <c r="B76" s="4"/>
      <c r="C76" s="6"/>
      <c r="D76" s="6"/>
      <c r="E76" s="6"/>
      <c r="F76" s="6"/>
      <c r="G76" s="7">
        <f t="shared" si="2"/>
        <v>0</v>
      </c>
      <c r="H76" s="8" t="e">
        <f t="shared" si="3"/>
        <v>#DIV/0!</v>
      </c>
    </row>
    <row r="77" spans="1:8" x14ac:dyDescent="0.35">
      <c r="A77" s="15"/>
      <c r="B77" s="4"/>
      <c r="C77" s="6"/>
      <c r="D77" s="6"/>
      <c r="E77" s="6"/>
      <c r="F77" s="6"/>
      <c r="G77" s="7">
        <f t="shared" si="2"/>
        <v>0</v>
      </c>
      <c r="H77" s="8" t="e">
        <f t="shared" si="3"/>
        <v>#DIV/0!</v>
      </c>
    </row>
    <row r="78" spans="1:8" x14ac:dyDescent="0.35">
      <c r="A78" s="15"/>
      <c r="B78" s="4"/>
      <c r="C78" s="6"/>
      <c r="D78" s="6"/>
      <c r="E78" s="6"/>
      <c r="F78" s="6"/>
      <c r="G78" s="7">
        <f t="shared" si="2"/>
        <v>0</v>
      </c>
      <c r="H78" s="8" t="e">
        <f t="shared" si="3"/>
        <v>#DIV/0!</v>
      </c>
    </row>
    <row r="79" spans="1:8" x14ac:dyDescent="0.35">
      <c r="A79" s="15"/>
      <c r="B79" s="4"/>
      <c r="C79" s="6"/>
      <c r="D79" s="6"/>
      <c r="E79" s="6"/>
      <c r="F79" s="6"/>
      <c r="G79" s="7">
        <f t="shared" si="2"/>
        <v>0</v>
      </c>
      <c r="H79" s="8" t="e">
        <f t="shared" si="3"/>
        <v>#DIV/0!</v>
      </c>
    </row>
    <row r="80" spans="1:8" x14ac:dyDescent="0.35">
      <c r="A80" s="15"/>
      <c r="B80" s="4"/>
      <c r="C80" s="6"/>
      <c r="D80" s="6"/>
      <c r="E80" s="6"/>
      <c r="F80" s="6"/>
      <c r="G80" s="7">
        <f t="shared" si="2"/>
        <v>0</v>
      </c>
      <c r="H80" s="8" t="e">
        <f t="shared" si="3"/>
        <v>#DIV/0!</v>
      </c>
    </row>
    <row r="81" spans="1:8" x14ac:dyDescent="0.35">
      <c r="A81" s="15"/>
      <c r="B81" s="4"/>
      <c r="C81" s="6"/>
      <c r="D81" s="6"/>
      <c r="E81" s="6"/>
      <c r="F81" s="6"/>
      <c r="G81" s="7">
        <f t="shared" si="2"/>
        <v>0</v>
      </c>
      <c r="H81" s="8" t="e">
        <f t="shared" si="3"/>
        <v>#DIV/0!</v>
      </c>
    </row>
    <row r="82" spans="1:8" x14ac:dyDescent="0.35">
      <c r="A82" s="15"/>
      <c r="B82" s="4"/>
      <c r="C82" s="6"/>
      <c r="D82" s="6"/>
      <c r="E82" s="6"/>
      <c r="F82" s="6"/>
      <c r="G82" s="7">
        <f t="shared" si="2"/>
        <v>0</v>
      </c>
      <c r="H82" s="8" t="e">
        <f t="shared" si="3"/>
        <v>#DIV/0!</v>
      </c>
    </row>
    <row r="83" spans="1:8" x14ac:dyDescent="0.35">
      <c r="A83" s="15"/>
      <c r="B83" s="4"/>
      <c r="C83" s="6"/>
      <c r="D83" s="6"/>
      <c r="E83" s="6"/>
      <c r="F83" s="6"/>
      <c r="G83" s="7">
        <f t="shared" si="2"/>
        <v>0</v>
      </c>
      <c r="H83" s="8" t="e">
        <f t="shared" si="3"/>
        <v>#DIV/0!</v>
      </c>
    </row>
    <row r="84" spans="1:8" x14ac:dyDescent="0.35">
      <c r="A84" s="15"/>
      <c r="B84" s="4"/>
      <c r="C84" s="6"/>
      <c r="D84" s="6"/>
      <c r="E84" s="6"/>
      <c r="F84" s="6"/>
      <c r="G84" s="7">
        <f t="shared" si="2"/>
        <v>0</v>
      </c>
      <c r="H84" s="8" t="e">
        <f t="shared" si="3"/>
        <v>#DIV/0!</v>
      </c>
    </row>
    <row r="85" spans="1:8" x14ac:dyDescent="0.35">
      <c r="A85" s="15"/>
      <c r="B85" s="4"/>
      <c r="C85" s="6"/>
      <c r="D85" s="6"/>
      <c r="E85" s="6"/>
      <c r="F85" s="6"/>
      <c r="G85" s="7">
        <f t="shared" si="2"/>
        <v>0</v>
      </c>
      <c r="H85" s="8" t="e">
        <f t="shared" si="3"/>
        <v>#DIV/0!</v>
      </c>
    </row>
    <row r="86" spans="1:8" x14ac:dyDescent="0.35">
      <c r="A86" s="15"/>
      <c r="B86" s="4"/>
      <c r="C86" s="6"/>
      <c r="D86" s="6"/>
      <c r="E86" s="6"/>
      <c r="F86" s="6"/>
      <c r="G86" s="7">
        <f t="shared" si="2"/>
        <v>0</v>
      </c>
      <c r="H86" s="8" t="e">
        <f t="shared" si="3"/>
        <v>#DIV/0!</v>
      </c>
    </row>
    <row r="87" spans="1:8" x14ac:dyDescent="0.35">
      <c r="A87" s="15"/>
      <c r="B87" s="4"/>
      <c r="C87" s="6"/>
      <c r="D87" s="6"/>
      <c r="E87" s="6"/>
      <c r="F87" s="6"/>
      <c r="G87" s="7">
        <f t="shared" si="2"/>
        <v>0</v>
      </c>
      <c r="H87" s="8" t="e">
        <f t="shared" si="3"/>
        <v>#DIV/0!</v>
      </c>
    </row>
    <row r="88" spans="1:8" x14ac:dyDescent="0.35">
      <c r="A88" s="15"/>
      <c r="B88" s="4"/>
      <c r="C88" s="6"/>
      <c r="D88" s="6"/>
      <c r="E88" s="6"/>
      <c r="F88" s="6"/>
      <c r="G88" s="7">
        <f t="shared" si="2"/>
        <v>0</v>
      </c>
      <c r="H88" s="8" t="e">
        <f t="shared" si="3"/>
        <v>#DIV/0!</v>
      </c>
    </row>
    <row r="89" spans="1:8" x14ac:dyDescent="0.35">
      <c r="A89" s="15"/>
      <c r="B89" s="4"/>
      <c r="C89" s="6"/>
      <c r="D89" s="6"/>
      <c r="E89" s="6"/>
      <c r="F89" s="6"/>
      <c r="G89" s="7">
        <f t="shared" si="2"/>
        <v>0</v>
      </c>
      <c r="H89" s="8" t="e">
        <f t="shared" si="3"/>
        <v>#DIV/0!</v>
      </c>
    </row>
    <row r="90" spans="1:8" x14ac:dyDescent="0.35">
      <c r="A90" s="15"/>
      <c r="B90" s="4"/>
      <c r="C90" s="6"/>
      <c r="D90" s="6"/>
      <c r="E90" s="6"/>
      <c r="F90" s="6"/>
      <c r="G90" s="7">
        <f t="shared" si="2"/>
        <v>0</v>
      </c>
      <c r="H90" s="8" t="e">
        <f t="shared" si="3"/>
        <v>#DIV/0!</v>
      </c>
    </row>
    <row r="91" spans="1:8" x14ac:dyDescent="0.35">
      <c r="A91" s="15"/>
      <c r="B91" s="4"/>
      <c r="C91" s="6"/>
      <c r="D91" s="6"/>
      <c r="E91" s="6"/>
      <c r="F91" s="6"/>
      <c r="G91" s="7">
        <f t="shared" si="2"/>
        <v>0</v>
      </c>
      <c r="H91" s="8" t="e">
        <f t="shared" si="3"/>
        <v>#DIV/0!</v>
      </c>
    </row>
    <row r="92" spans="1:8" x14ac:dyDescent="0.35">
      <c r="A92" s="15"/>
      <c r="B92" s="4"/>
      <c r="C92" s="6"/>
      <c r="D92" s="6"/>
      <c r="E92" s="6"/>
      <c r="F92" s="6"/>
      <c r="G92" s="7">
        <f t="shared" si="2"/>
        <v>0</v>
      </c>
      <c r="H92" s="8" t="e">
        <f t="shared" si="3"/>
        <v>#DIV/0!</v>
      </c>
    </row>
    <row r="93" spans="1:8" x14ac:dyDescent="0.35">
      <c r="A93" s="15"/>
      <c r="B93" s="4"/>
      <c r="C93" s="6"/>
      <c r="D93" s="6"/>
      <c r="E93" s="6"/>
      <c r="F93" s="6"/>
      <c r="G93" s="7">
        <f t="shared" si="2"/>
        <v>0</v>
      </c>
      <c r="H93" s="8" t="e">
        <f t="shared" si="3"/>
        <v>#DIV/0!</v>
      </c>
    </row>
    <row r="94" spans="1:8" x14ac:dyDescent="0.35">
      <c r="A94" s="15"/>
      <c r="B94" s="4"/>
      <c r="C94" s="6"/>
      <c r="D94" s="6"/>
      <c r="E94" s="6"/>
      <c r="F94" s="6"/>
      <c r="G94" s="7">
        <f t="shared" si="2"/>
        <v>0</v>
      </c>
      <c r="H94" s="8" t="e">
        <f t="shared" si="3"/>
        <v>#DIV/0!</v>
      </c>
    </row>
    <row r="95" spans="1:8" x14ac:dyDescent="0.35">
      <c r="A95" s="15"/>
      <c r="B95" s="4"/>
      <c r="C95" s="6"/>
      <c r="D95" s="6"/>
      <c r="E95" s="6"/>
      <c r="F95" s="6"/>
      <c r="G95" s="7">
        <f t="shared" si="2"/>
        <v>0</v>
      </c>
      <c r="H95" s="8" t="e">
        <f t="shared" si="3"/>
        <v>#DIV/0!</v>
      </c>
    </row>
    <row r="96" spans="1:8" x14ac:dyDescent="0.35">
      <c r="A96" s="15"/>
      <c r="B96" s="4"/>
      <c r="C96" s="6"/>
      <c r="D96" s="6"/>
      <c r="E96" s="6"/>
      <c r="F96" s="6"/>
      <c r="G96" s="7">
        <f t="shared" si="2"/>
        <v>0</v>
      </c>
      <c r="H96" s="8" t="e">
        <f t="shared" si="3"/>
        <v>#DIV/0!</v>
      </c>
    </row>
    <row r="97" spans="1:8" x14ac:dyDescent="0.35">
      <c r="A97" s="15"/>
      <c r="B97" s="4"/>
      <c r="C97" s="6"/>
      <c r="D97" s="6"/>
      <c r="E97" s="6"/>
      <c r="F97" s="6"/>
      <c r="G97" s="7">
        <f t="shared" si="2"/>
        <v>0</v>
      </c>
      <c r="H97" s="8" t="e">
        <f t="shared" si="3"/>
        <v>#DIV/0!</v>
      </c>
    </row>
    <row r="98" spans="1:8" x14ac:dyDescent="0.35">
      <c r="A98" s="15"/>
      <c r="B98" s="4"/>
      <c r="C98" s="6"/>
      <c r="D98" s="6"/>
      <c r="E98" s="6"/>
      <c r="F98" s="6"/>
      <c r="G98" s="7">
        <f t="shared" si="2"/>
        <v>0</v>
      </c>
      <c r="H98" s="8" t="e">
        <f t="shared" si="3"/>
        <v>#DIV/0!</v>
      </c>
    </row>
    <row r="99" spans="1:8" x14ac:dyDescent="0.35">
      <c r="A99" s="15"/>
      <c r="B99" s="4"/>
      <c r="C99" s="6"/>
      <c r="D99" s="6"/>
      <c r="E99" s="6"/>
      <c r="F99" s="6"/>
      <c r="G99" s="7">
        <f t="shared" si="2"/>
        <v>0</v>
      </c>
      <c r="H99" s="8" t="e">
        <f t="shared" si="3"/>
        <v>#DIV/0!</v>
      </c>
    </row>
    <row r="100" spans="1:8" x14ac:dyDescent="0.35">
      <c r="A100" s="15"/>
      <c r="B100" s="4"/>
      <c r="C100" s="6"/>
      <c r="D100" s="6"/>
      <c r="E100" s="6"/>
      <c r="F100" s="6"/>
      <c r="G100" s="7">
        <f t="shared" si="2"/>
        <v>0</v>
      </c>
      <c r="H100" s="8" t="e">
        <f t="shared" si="3"/>
        <v>#DIV/0!</v>
      </c>
    </row>
    <row r="101" spans="1:8" x14ac:dyDescent="0.35">
      <c r="A101" s="15"/>
      <c r="B101" s="4"/>
      <c r="C101" s="6"/>
      <c r="D101" s="6"/>
      <c r="E101" s="6"/>
      <c r="F101" s="6"/>
      <c r="G101" s="7">
        <f t="shared" si="2"/>
        <v>0</v>
      </c>
      <c r="H101" s="8" t="e">
        <f t="shared" si="3"/>
        <v>#DIV/0!</v>
      </c>
    </row>
    <row r="102" spans="1:8" x14ac:dyDescent="0.35">
      <c r="A102" s="15"/>
      <c r="B102" s="4"/>
      <c r="C102" s="6"/>
      <c r="D102" s="6"/>
      <c r="E102" s="6"/>
      <c r="F102" s="6"/>
      <c r="G102" s="7">
        <f t="shared" si="2"/>
        <v>0</v>
      </c>
      <c r="H102" s="8" t="e">
        <f t="shared" si="3"/>
        <v>#DIV/0!</v>
      </c>
    </row>
    <row r="103" spans="1:8" x14ac:dyDescent="0.35">
      <c r="A103" s="15"/>
      <c r="B103" s="4"/>
      <c r="C103" s="6"/>
      <c r="D103" s="6"/>
      <c r="E103" s="6"/>
      <c r="F103" s="6"/>
      <c r="G103" s="7">
        <f t="shared" si="2"/>
        <v>0</v>
      </c>
      <c r="H103" s="8" t="e">
        <f t="shared" si="3"/>
        <v>#DIV/0!</v>
      </c>
    </row>
    <row r="104" spans="1:8" x14ac:dyDescent="0.35">
      <c r="A104" s="15"/>
      <c r="B104" s="4"/>
      <c r="C104" s="6"/>
      <c r="D104" s="6"/>
      <c r="E104" s="6"/>
      <c r="F104" s="6"/>
      <c r="G104" s="7">
        <f t="shared" si="2"/>
        <v>0</v>
      </c>
      <c r="H104" s="8" t="e">
        <f t="shared" si="3"/>
        <v>#DIV/0!</v>
      </c>
    </row>
    <row r="105" spans="1:8" x14ac:dyDescent="0.35">
      <c r="A105" s="15"/>
      <c r="B105" s="4"/>
      <c r="C105" s="6"/>
      <c r="D105" s="6"/>
      <c r="E105" s="6"/>
      <c r="F105" s="6"/>
      <c r="G105" s="7">
        <f t="shared" si="2"/>
        <v>0</v>
      </c>
      <c r="H105" s="8" t="e">
        <f t="shared" si="3"/>
        <v>#DIV/0!</v>
      </c>
    </row>
    <row r="106" spans="1:8" x14ac:dyDescent="0.35">
      <c r="A106" s="15"/>
      <c r="B106" s="4"/>
      <c r="C106" s="6"/>
      <c r="D106" s="6"/>
      <c r="E106" s="6"/>
      <c r="F106" s="6"/>
      <c r="G106" s="7">
        <f t="shared" si="2"/>
        <v>0</v>
      </c>
      <c r="H106" s="8" t="e">
        <f t="shared" si="3"/>
        <v>#DIV/0!</v>
      </c>
    </row>
    <row r="107" spans="1:8" x14ac:dyDescent="0.35">
      <c r="A107" s="15"/>
      <c r="B107" s="4"/>
      <c r="C107" s="6"/>
      <c r="D107" s="6"/>
      <c r="E107" s="6"/>
      <c r="F107" s="6"/>
      <c r="G107" s="7">
        <f t="shared" si="2"/>
        <v>0</v>
      </c>
      <c r="H107" s="8" t="e">
        <f t="shared" si="3"/>
        <v>#DIV/0!</v>
      </c>
    </row>
    <row r="108" spans="1:8" x14ac:dyDescent="0.35">
      <c r="A108" s="15"/>
      <c r="B108" s="4"/>
      <c r="C108" s="6"/>
      <c r="D108" s="6"/>
      <c r="E108" s="6"/>
      <c r="F108" s="6"/>
      <c r="G108" s="7">
        <f t="shared" si="2"/>
        <v>0</v>
      </c>
      <c r="H108" s="8" t="e">
        <f t="shared" si="3"/>
        <v>#DIV/0!</v>
      </c>
    </row>
    <row r="109" spans="1:8" x14ac:dyDescent="0.35">
      <c r="A109" s="15"/>
      <c r="B109" s="4"/>
      <c r="C109" s="6"/>
      <c r="D109" s="6"/>
      <c r="E109" s="6"/>
      <c r="F109" s="6"/>
      <c r="G109" s="7">
        <f t="shared" si="2"/>
        <v>0</v>
      </c>
      <c r="H109" s="8" t="e">
        <f t="shared" si="3"/>
        <v>#DIV/0!</v>
      </c>
    </row>
    <row r="110" spans="1:8" x14ac:dyDescent="0.35">
      <c r="A110" s="15"/>
      <c r="B110" s="4"/>
      <c r="C110" s="6"/>
      <c r="D110" s="6"/>
      <c r="E110" s="6"/>
      <c r="F110" s="6"/>
      <c r="G110" s="7">
        <f t="shared" si="2"/>
        <v>0</v>
      </c>
      <c r="H110" s="8" t="e">
        <f t="shared" si="3"/>
        <v>#DIV/0!</v>
      </c>
    </row>
    <row r="111" spans="1:8" x14ac:dyDescent="0.35">
      <c r="A111" s="15"/>
      <c r="B111" s="4"/>
      <c r="C111" s="6"/>
      <c r="D111" s="6"/>
      <c r="E111" s="6"/>
      <c r="F111" s="6"/>
      <c r="G111" s="7">
        <f t="shared" si="2"/>
        <v>0</v>
      </c>
      <c r="H111" s="8" t="e">
        <f t="shared" si="3"/>
        <v>#DIV/0!</v>
      </c>
    </row>
    <row r="112" spans="1:8" x14ac:dyDescent="0.35">
      <c r="A112" s="15"/>
      <c r="B112" s="4"/>
      <c r="C112" s="6"/>
      <c r="D112" s="6"/>
      <c r="E112" s="6"/>
      <c r="F112" s="6"/>
      <c r="G112" s="7">
        <f t="shared" si="2"/>
        <v>0</v>
      </c>
      <c r="H112" s="8" t="e">
        <f t="shared" si="3"/>
        <v>#DIV/0!</v>
      </c>
    </row>
    <row r="113" spans="1:8" x14ac:dyDescent="0.35">
      <c r="A113" s="15"/>
      <c r="B113" s="4"/>
      <c r="C113" s="6"/>
      <c r="D113" s="6"/>
      <c r="E113" s="6"/>
      <c r="F113" s="6"/>
      <c r="G113" s="7">
        <f t="shared" si="2"/>
        <v>0</v>
      </c>
      <c r="H113" s="8" t="e">
        <f t="shared" si="3"/>
        <v>#DIV/0!</v>
      </c>
    </row>
    <row r="114" spans="1:8" x14ac:dyDescent="0.35">
      <c r="A114" s="15"/>
      <c r="B114" s="4"/>
      <c r="C114" s="6"/>
      <c r="D114" s="6"/>
      <c r="E114" s="6"/>
      <c r="F114" s="6"/>
      <c r="G114" s="7">
        <f t="shared" si="2"/>
        <v>0</v>
      </c>
      <c r="H114" s="8" t="e">
        <f t="shared" si="3"/>
        <v>#DIV/0!</v>
      </c>
    </row>
    <row r="115" spans="1:8" x14ac:dyDescent="0.35">
      <c r="A115" s="15"/>
      <c r="B115" s="4"/>
      <c r="C115" s="6"/>
      <c r="D115" s="6"/>
      <c r="E115" s="6"/>
      <c r="F115" s="6"/>
      <c r="G115" s="7">
        <f t="shared" si="2"/>
        <v>0</v>
      </c>
      <c r="H115" s="8" t="e">
        <f t="shared" si="3"/>
        <v>#DIV/0!</v>
      </c>
    </row>
    <row r="116" spans="1:8" x14ac:dyDescent="0.35">
      <c r="A116" s="15"/>
      <c r="B116" s="4"/>
      <c r="C116" s="6"/>
      <c r="D116" s="6"/>
      <c r="E116" s="6"/>
      <c r="F116" s="6"/>
      <c r="G116" s="7">
        <f t="shared" si="2"/>
        <v>0</v>
      </c>
      <c r="H116" s="8" t="e">
        <f t="shared" si="3"/>
        <v>#DIV/0!</v>
      </c>
    </row>
    <row r="117" spans="1:8" x14ac:dyDescent="0.35">
      <c r="A117" s="15"/>
      <c r="B117" s="4"/>
      <c r="C117" s="6"/>
      <c r="D117" s="6"/>
      <c r="E117" s="6"/>
      <c r="F117" s="6"/>
      <c r="G117" s="7">
        <f t="shared" si="2"/>
        <v>0</v>
      </c>
      <c r="H117" s="8" t="e">
        <f t="shared" si="3"/>
        <v>#DIV/0!</v>
      </c>
    </row>
    <row r="118" spans="1:8" x14ac:dyDescent="0.35">
      <c r="A118" s="15"/>
      <c r="B118" s="4"/>
      <c r="C118" s="6"/>
      <c r="D118" s="6"/>
      <c r="E118" s="6"/>
      <c r="F118" s="6"/>
      <c r="G118" s="7">
        <f t="shared" si="2"/>
        <v>0</v>
      </c>
      <c r="H118" s="8" t="e">
        <f t="shared" si="3"/>
        <v>#DIV/0!</v>
      </c>
    </row>
    <row r="119" spans="1:8" x14ac:dyDescent="0.35">
      <c r="A119" s="15"/>
      <c r="B119" s="4"/>
      <c r="C119" s="6"/>
      <c r="D119" s="6"/>
      <c r="E119" s="6"/>
      <c r="F119" s="6"/>
      <c r="G119" s="7">
        <f t="shared" si="2"/>
        <v>0</v>
      </c>
      <c r="H119" s="8" t="e">
        <f t="shared" si="3"/>
        <v>#DIV/0!</v>
      </c>
    </row>
    <row r="120" spans="1:8" x14ac:dyDescent="0.35">
      <c r="A120" s="15"/>
      <c r="B120" s="4"/>
      <c r="C120" s="6"/>
      <c r="D120" s="6"/>
      <c r="E120" s="6"/>
      <c r="F120" s="6"/>
      <c r="G120" s="7">
        <f t="shared" si="2"/>
        <v>0</v>
      </c>
      <c r="H120" s="8" t="e">
        <f t="shared" si="3"/>
        <v>#DIV/0!</v>
      </c>
    </row>
    <row r="121" spans="1:8" x14ac:dyDescent="0.35">
      <c r="A121" s="15"/>
      <c r="B121" s="4"/>
      <c r="C121" s="6"/>
      <c r="D121" s="6"/>
      <c r="E121" s="6"/>
      <c r="F121" s="6"/>
      <c r="G121" s="7">
        <f t="shared" si="2"/>
        <v>0</v>
      </c>
      <c r="H121" s="8" t="e">
        <f t="shared" si="3"/>
        <v>#DIV/0!</v>
      </c>
    </row>
    <row r="122" spans="1:8" x14ac:dyDescent="0.35">
      <c r="A122" s="15"/>
      <c r="B122" s="4"/>
      <c r="C122" s="6"/>
      <c r="D122" s="6"/>
      <c r="E122" s="6"/>
      <c r="F122" s="6"/>
      <c r="G122" s="7">
        <f t="shared" si="2"/>
        <v>0</v>
      </c>
      <c r="H122" s="8" t="e">
        <f t="shared" si="3"/>
        <v>#DIV/0!</v>
      </c>
    </row>
    <row r="123" spans="1:8" x14ac:dyDescent="0.35">
      <c r="A123" s="15"/>
      <c r="B123" s="4"/>
      <c r="C123" s="6"/>
      <c r="D123" s="6"/>
      <c r="E123" s="6"/>
      <c r="F123" s="6"/>
      <c r="G123" s="7">
        <f t="shared" si="2"/>
        <v>0</v>
      </c>
      <c r="H123" s="8" t="e">
        <f t="shared" si="3"/>
        <v>#DIV/0!</v>
      </c>
    </row>
    <row r="124" spans="1:8" x14ac:dyDescent="0.35">
      <c r="A124" s="15"/>
      <c r="B124" s="4"/>
      <c r="C124" s="6"/>
      <c r="D124" s="6"/>
      <c r="E124" s="6"/>
      <c r="F124" s="6"/>
      <c r="G124" s="7">
        <f t="shared" si="2"/>
        <v>0</v>
      </c>
      <c r="H124" s="8" t="e">
        <f t="shared" si="3"/>
        <v>#DIV/0!</v>
      </c>
    </row>
    <row r="125" spans="1:8" x14ac:dyDescent="0.35">
      <c r="A125" s="15"/>
      <c r="B125" s="4"/>
      <c r="C125" s="6"/>
      <c r="D125" s="6"/>
      <c r="E125" s="6"/>
      <c r="F125" s="6"/>
      <c r="G125" s="7">
        <f t="shared" si="2"/>
        <v>0</v>
      </c>
      <c r="H125" s="8" t="e">
        <f t="shared" si="3"/>
        <v>#DIV/0!</v>
      </c>
    </row>
    <row r="126" spans="1:8" x14ac:dyDescent="0.35">
      <c r="A126" s="15"/>
      <c r="B126" s="4"/>
      <c r="C126" s="6"/>
      <c r="D126" s="6"/>
      <c r="E126" s="6"/>
      <c r="F126" s="6"/>
      <c r="G126" s="7">
        <f t="shared" si="2"/>
        <v>0</v>
      </c>
      <c r="H126" s="8" t="e">
        <f t="shared" si="3"/>
        <v>#DIV/0!</v>
      </c>
    </row>
    <row r="127" spans="1:8" x14ac:dyDescent="0.35">
      <c r="A127" s="15"/>
      <c r="B127" s="4"/>
      <c r="C127" s="6"/>
      <c r="D127" s="6"/>
      <c r="E127" s="6"/>
      <c r="F127" s="6"/>
      <c r="G127" s="7">
        <f t="shared" si="2"/>
        <v>0</v>
      </c>
      <c r="H127" s="8" t="e">
        <f t="shared" si="3"/>
        <v>#DIV/0!</v>
      </c>
    </row>
    <row r="128" spans="1:8" x14ac:dyDescent="0.35">
      <c r="A128" s="15"/>
      <c r="B128" s="4"/>
      <c r="C128" s="6"/>
      <c r="D128" s="6"/>
      <c r="E128" s="6"/>
      <c r="F128" s="6"/>
      <c r="G128" s="7">
        <f t="shared" si="2"/>
        <v>0</v>
      </c>
      <c r="H128" s="8" t="e">
        <f t="shared" si="3"/>
        <v>#DIV/0!</v>
      </c>
    </row>
  </sheetData>
  <mergeCells count="2">
    <mergeCell ref="A1:I1"/>
    <mergeCell ref="J3:K3"/>
  </mergeCells>
  <dataValidations count="1">
    <dataValidation type="list" allowBlank="1" showInputMessage="1" showErrorMessage="1" sqref="A4:A128" xr:uid="{6981E014-5D04-4321-89E7-9117710FB5F2}">
      <formula1>$J$4:$J$15</formula1>
    </dataValidation>
  </dataValidations>
  <hyperlinks>
    <hyperlink ref="C4" r:id="rId1" xr:uid="{2C1E4655-A03F-4606-8C18-6D073C9D5EB0}"/>
    <hyperlink ref="C5:C9" r:id="rId2" display="https://www.botanistii.ro/blog/calendarul-tratamentelor-tomate/" xr:uid="{C058C733-BD38-4EB9-BE69-BC5C03F4B4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B95E-9AE9-4646-A567-50DF03D1A518}">
  <dimension ref="A1:G303"/>
  <sheetViews>
    <sheetView workbookViewId="0">
      <selection activeCell="I6" sqref="I6"/>
    </sheetView>
  </sheetViews>
  <sheetFormatPr defaultRowHeight="14.5" x14ac:dyDescent="0.35"/>
  <cols>
    <col min="3" max="3" width="15.6328125" customWidth="1"/>
    <col min="4" max="4" width="20.6328125" style="2" customWidth="1"/>
    <col min="6" max="6" width="15.6328125" customWidth="1"/>
    <col min="7" max="7" width="20.6328125" customWidth="1"/>
  </cols>
  <sheetData>
    <row r="1" spans="1:7" ht="18.5" x14ac:dyDescent="0.45">
      <c r="A1" s="38" t="s">
        <v>49</v>
      </c>
      <c r="B1" s="38"/>
      <c r="C1" s="38"/>
      <c r="D1" s="38"/>
    </row>
    <row r="3" spans="1:7" ht="16" x14ac:dyDescent="0.4">
      <c r="A3" s="3" t="s">
        <v>15</v>
      </c>
      <c r="B3" s="3" t="s">
        <v>50</v>
      </c>
      <c r="C3" s="3" t="s">
        <v>51</v>
      </c>
      <c r="D3" s="3" t="s">
        <v>52</v>
      </c>
      <c r="F3" s="39" t="s">
        <v>53</v>
      </c>
      <c r="G3" s="39"/>
    </row>
    <row r="4" spans="1:7" x14ac:dyDescent="0.35">
      <c r="A4" s="9" t="s">
        <v>4</v>
      </c>
      <c r="B4" s="6">
        <v>24</v>
      </c>
      <c r="C4" s="6">
        <v>3</v>
      </c>
      <c r="D4" s="22">
        <v>2500</v>
      </c>
      <c r="F4" s="10" t="s">
        <v>4</v>
      </c>
      <c r="G4" s="11">
        <f>SUMIF(A4:A200,"JAN",D4:D200)</f>
        <v>2730</v>
      </c>
    </row>
    <row r="5" spans="1:7" x14ac:dyDescent="0.35">
      <c r="A5" s="9" t="s">
        <v>5</v>
      </c>
      <c r="B5" s="6">
        <v>23</v>
      </c>
      <c r="C5" s="6">
        <v>6</v>
      </c>
      <c r="D5" s="22">
        <v>5600</v>
      </c>
      <c r="F5" s="10" t="s">
        <v>5</v>
      </c>
      <c r="G5" s="11">
        <f>SUMIF(A4:A200,"FEB",D4:D200)</f>
        <v>13400</v>
      </c>
    </row>
    <row r="6" spans="1:7" x14ac:dyDescent="0.35">
      <c r="A6" s="9" t="s">
        <v>4</v>
      </c>
      <c r="B6" s="6">
        <v>12</v>
      </c>
      <c r="C6" s="6">
        <v>3</v>
      </c>
      <c r="D6" s="22">
        <v>230</v>
      </c>
      <c r="F6" s="10" t="s">
        <v>6</v>
      </c>
      <c r="G6" s="11">
        <f>SUMIF(A4:A200,"MAR",D4:D200)</f>
        <v>300</v>
      </c>
    </row>
    <row r="7" spans="1:7" x14ac:dyDescent="0.35">
      <c r="A7" s="9" t="s">
        <v>5</v>
      </c>
      <c r="B7" s="6">
        <v>2</v>
      </c>
      <c r="C7" s="6">
        <v>12</v>
      </c>
      <c r="D7" s="22">
        <v>7800</v>
      </c>
      <c r="F7" s="10" t="s">
        <v>7</v>
      </c>
      <c r="G7" s="11">
        <f>SUMIF(A4:A200,"APR",D4:D200)</f>
        <v>450</v>
      </c>
    </row>
    <row r="8" spans="1:7" x14ac:dyDescent="0.35">
      <c r="A8" s="9" t="s">
        <v>6</v>
      </c>
      <c r="B8" s="6">
        <v>5</v>
      </c>
      <c r="C8" s="6">
        <v>4</v>
      </c>
      <c r="D8" s="22">
        <v>300</v>
      </c>
      <c r="F8" s="10" t="s">
        <v>24</v>
      </c>
      <c r="G8" s="11">
        <f>SUMIF(A4:A200,"MAY",D4:D200)</f>
        <v>1250</v>
      </c>
    </row>
    <row r="9" spans="1:7" x14ac:dyDescent="0.35">
      <c r="A9" s="9" t="s">
        <v>7</v>
      </c>
      <c r="B9" s="6">
        <v>6</v>
      </c>
      <c r="C9" s="6">
        <v>5</v>
      </c>
      <c r="D9" s="22">
        <v>450</v>
      </c>
      <c r="F9" s="10" t="s">
        <v>32</v>
      </c>
      <c r="G9" s="11">
        <f>SUMIF(A4:A200,"JUNE",D4:D200)</f>
        <v>0</v>
      </c>
    </row>
    <row r="10" spans="1:7" x14ac:dyDescent="0.35">
      <c r="A10" s="9" t="s">
        <v>11</v>
      </c>
      <c r="B10" s="6">
        <v>12</v>
      </c>
      <c r="C10" s="6">
        <v>2</v>
      </c>
      <c r="D10" s="22">
        <v>23</v>
      </c>
      <c r="F10" s="10" t="s">
        <v>33</v>
      </c>
      <c r="G10" s="11">
        <f>SUMIF(A4:A200,"JULY",D4:D200)</f>
        <v>0</v>
      </c>
    </row>
    <row r="11" spans="1:7" x14ac:dyDescent="0.35">
      <c r="A11" s="9" t="s">
        <v>24</v>
      </c>
      <c r="B11" s="6">
        <v>23</v>
      </c>
      <c r="C11" s="6">
        <v>3</v>
      </c>
      <c r="D11" s="22">
        <v>800</v>
      </c>
      <c r="F11" s="10" t="s">
        <v>8</v>
      </c>
      <c r="G11" s="11">
        <f>SUMIF(A4:A200,"AUG",D4:D200)</f>
        <v>500</v>
      </c>
    </row>
    <row r="12" spans="1:7" x14ac:dyDescent="0.35">
      <c r="A12" s="9" t="s">
        <v>24</v>
      </c>
      <c r="B12" s="6">
        <v>4</v>
      </c>
      <c r="C12" s="6">
        <v>5</v>
      </c>
      <c r="D12" s="22">
        <v>450</v>
      </c>
      <c r="F12" s="10" t="s">
        <v>9</v>
      </c>
      <c r="G12" s="11">
        <f>SUMIF(A4:A200,"SEPT",D4:D200)</f>
        <v>0</v>
      </c>
    </row>
    <row r="13" spans="1:7" x14ac:dyDescent="0.35">
      <c r="A13" s="9" t="s">
        <v>8</v>
      </c>
      <c r="B13" s="6">
        <v>6</v>
      </c>
      <c r="C13" s="6">
        <v>3</v>
      </c>
      <c r="D13" s="22">
        <v>500</v>
      </c>
      <c r="F13" s="10" t="s">
        <v>31</v>
      </c>
      <c r="G13" s="11">
        <f>SUMIF(A4:A200,"OCT",D4:D200)</f>
        <v>0</v>
      </c>
    </row>
    <row r="14" spans="1:7" x14ac:dyDescent="0.35">
      <c r="A14" s="9" t="s">
        <v>10</v>
      </c>
      <c r="B14" s="6">
        <v>18</v>
      </c>
      <c r="C14" s="6">
        <v>1</v>
      </c>
      <c r="D14" s="22">
        <v>200</v>
      </c>
      <c r="F14" s="10" t="s">
        <v>10</v>
      </c>
      <c r="G14" s="11">
        <f>SUMIF(A4:A200,"NOV",D4:D200)</f>
        <v>200</v>
      </c>
    </row>
    <row r="15" spans="1:7" x14ac:dyDescent="0.35">
      <c r="A15" s="9"/>
      <c r="B15" s="6"/>
      <c r="C15" s="6"/>
      <c r="D15" s="22"/>
      <c r="F15" s="12" t="s">
        <v>11</v>
      </c>
      <c r="G15" s="13">
        <f>SUMIF(A4:A200,"DEC",D4:D200)</f>
        <v>23</v>
      </c>
    </row>
    <row r="16" spans="1:7" x14ac:dyDescent="0.35">
      <c r="A16" s="9"/>
      <c r="B16" s="6"/>
      <c r="C16" s="6"/>
      <c r="D16" s="22"/>
    </row>
    <row r="17" spans="1:4" x14ac:dyDescent="0.35">
      <c r="A17" s="9"/>
      <c r="B17" s="6"/>
      <c r="C17" s="6"/>
      <c r="D17" s="22"/>
    </row>
    <row r="18" spans="1:4" x14ac:dyDescent="0.35">
      <c r="A18" s="9"/>
      <c r="B18" s="6"/>
      <c r="C18" s="6"/>
      <c r="D18" s="22"/>
    </row>
    <row r="19" spans="1:4" x14ac:dyDescent="0.35">
      <c r="A19" s="9"/>
      <c r="B19" s="6"/>
      <c r="C19" s="6"/>
      <c r="D19" s="22"/>
    </row>
    <row r="20" spans="1:4" x14ac:dyDescent="0.35">
      <c r="A20" s="9"/>
      <c r="B20" s="6"/>
      <c r="C20" s="6"/>
      <c r="D20" s="22"/>
    </row>
    <row r="21" spans="1:4" x14ac:dyDescent="0.35">
      <c r="A21" s="9"/>
      <c r="B21" s="6"/>
      <c r="C21" s="6"/>
      <c r="D21" s="22"/>
    </row>
    <row r="22" spans="1:4" x14ac:dyDescent="0.35">
      <c r="A22" s="9"/>
      <c r="B22" s="6"/>
      <c r="C22" s="6"/>
      <c r="D22" s="22"/>
    </row>
    <row r="23" spans="1:4" x14ac:dyDescent="0.35">
      <c r="A23" s="9"/>
      <c r="B23" s="6"/>
      <c r="C23" s="6"/>
      <c r="D23" s="22"/>
    </row>
    <row r="24" spans="1:4" x14ac:dyDescent="0.35">
      <c r="A24" s="9"/>
      <c r="B24" s="6"/>
      <c r="C24" s="6"/>
      <c r="D24" s="22"/>
    </row>
    <row r="25" spans="1:4" x14ac:dyDescent="0.35">
      <c r="A25" s="9"/>
      <c r="B25" s="6"/>
      <c r="C25" s="6"/>
      <c r="D25" s="22"/>
    </row>
    <row r="26" spans="1:4" x14ac:dyDescent="0.35">
      <c r="A26" s="9"/>
      <c r="B26" s="6"/>
      <c r="C26" s="6"/>
      <c r="D26" s="22"/>
    </row>
    <row r="27" spans="1:4" x14ac:dyDescent="0.35">
      <c r="A27" s="9"/>
      <c r="B27" s="6"/>
      <c r="C27" s="6"/>
      <c r="D27" s="22"/>
    </row>
    <row r="28" spans="1:4" x14ac:dyDescent="0.35">
      <c r="A28" s="9"/>
      <c r="B28" s="6"/>
      <c r="C28" s="6"/>
      <c r="D28" s="22"/>
    </row>
    <row r="29" spans="1:4" x14ac:dyDescent="0.35">
      <c r="A29" s="9"/>
      <c r="B29" s="6"/>
      <c r="C29" s="6"/>
      <c r="D29" s="22"/>
    </row>
    <row r="30" spans="1:4" x14ac:dyDescent="0.35">
      <c r="A30" s="9"/>
      <c r="B30" s="6"/>
      <c r="C30" s="6"/>
      <c r="D30" s="22"/>
    </row>
    <row r="31" spans="1:4" x14ac:dyDescent="0.35">
      <c r="A31" s="9"/>
      <c r="B31" s="6"/>
      <c r="C31" s="6"/>
      <c r="D31" s="22"/>
    </row>
    <row r="32" spans="1:4" x14ac:dyDescent="0.35">
      <c r="A32" s="9"/>
      <c r="B32" s="6"/>
      <c r="C32" s="6"/>
      <c r="D32" s="22"/>
    </row>
    <row r="33" spans="1:4" x14ac:dyDescent="0.35">
      <c r="A33" s="9"/>
      <c r="B33" s="6"/>
      <c r="C33" s="6"/>
      <c r="D33" s="22"/>
    </row>
    <row r="34" spans="1:4" x14ac:dyDescent="0.35">
      <c r="A34" s="9"/>
      <c r="B34" s="6"/>
      <c r="C34" s="6"/>
      <c r="D34" s="22"/>
    </row>
    <row r="35" spans="1:4" x14ac:dyDescent="0.35">
      <c r="A35" s="9"/>
      <c r="B35" s="6"/>
      <c r="C35" s="6"/>
      <c r="D35" s="22"/>
    </row>
    <row r="36" spans="1:4" x14ac:dyDescent="0.35">
      <c r="A36" s="9"/>
      <c r="B36" s="6"/>
      <c r="C36" s="6"/>
      <c r="D36" s="22"/>
    </row>
    <row r="37" spans="1:4" x14ac:dyDescent="0.35">
      <c r="A37" s="9"/>
      <c r="B37" s="6"/>
      <c r="C37" s="6"/>
      <c r="D37" s="22"/>
    </row>
    <row r="38" spans="1:4" x14ac:dyDescent="0.35">
      <c r="A38" s="9"/>
      <c r="B38" s="6"/>
      <c r="C38" s="6"/>
      <c r="D38" s="22"/>
    </row>
    <row r="39" spans="1:4" x14ac:dyDescent="0.35">
      <c r="A39" s="9"/>
      <c r="B39" s="6"/>
      <c r="C39" s="6"/>
      <c r="D39" s="22"/>
    </row>
    <row r="40" spans="1:4" x14ac:dyDescent="0.35">
      <c r="A40" s="9"/>
      <c r="B40" s="6"/>
      <c r="C40" s="6"/>
      <c r="D40" s="22"/>
    </row>
    <row r="41" spans="1:4" x14ac:dyDescent="0.35">
      <c r="A41" s="9"/>
      <c r="B41" s="6"/>
      <c r="C41" s="6"/>
      <c r="D41" s="22"/>
    </row>
    <row r="42" spans="1:4" x14ac:dyDescent="0.35">
      <c r="A42" s="9"/>
      <c r="B42" s="6"/>
      <c r="C42" s="6"/>
      <c r="D42" s="22"/>
    </row>
    <row r="43" spans="1:4" x14ac:dyDescent="0.35">
      <c r="A43" s="9"/>
      <c r="B43" s="6"/>
      <c r="C43" s="6"/>
      <c r="D43" s="22"/>
    </row>
    <row r="44" spans="1:4" x14ac:dyDescent="0.35">
      <c r="A44" s="9"/>
      <c r="B44" s="6"/>
      <c r="C44" s="6"/>
      <c r="D44" s="22"/>
    </row>
    <row r="45" spans="1:4" x14ac:dyDescent="0.35">
      <c r="A45" s="9"/>
      <c r="B45" s="6"/>
      <c r="C45" s="6"/>
      <c r="D45" s="22"/>
    </row>
    <row r="46" spans="1:4" x14ac:dyDescent="0.35">
      <c r="A46" s="9"/>
      <c r="B46" s="6"/>
      <c r="C46" s="6"/>
      <c r="D46" s="22"/>
    </row>
    <row r="47" spans="1:4" x14ac:dyDescent="0.35">
      <c r="A47" s="9"/>
      <c r="B47" s="6"/>
      <c r="C47" s="6"/>
      <c r="D47" s="22"/>
    </row>
    <row r="48" spans="1:4" x14ac:dyDescent="0.35">
      <c r="A48" s="9"/>
      <c r="B48" s="6"/>
      <c r="C48" s="6"/>
      <c r="D48" s="22"/>
    </row>
    <row r="49" spans="1:4" x14ac:dyDescent="0.35">
      <c r="A49" s="9"/>
      <c r="B49" s="6"/>
      <c r="C49" s="6"/>
      <c r="D49" s="22"/>
    </row>
    <row r="50" spans="1:4" x14ac:dyDescent="0.35">
      <c r="A50" s="9"/>
      <c r="B50" s="6"/>
      <c r="C50" s="6"/>
      <c r="D50" s="22"/>
    </row>
    <row r="51" spans="1:4" x14ac:dyDescent="0.35">
      <c r="A51" s="9"/>
      <c r="B51" s="6"/>
      <c r="C51" s="6"/>
      <c r="D51" s="22"/>
    </row>
    <row r="52" spans="1:4" x14ac:dyDescent="0.35">
      <c r="A52" s="9"/>
      <c r="B52" s="6"/>
      <c r="C52" s="6"/>
      <c r="D52" s="22"/>
    </row>
    <row r="53" spans="1:4" x14ac:dyDescent="0.35">
      <c r="A53" s="9"/>
      <c r="B53" s="6"/>
      <c r="C53" s="6"/>
      <c r="D53" s="22"/>
    </row>
    <row r="54" spans="1:4" x14ac:dyDescent="0.35">
      <c r="A54" s="9"/>
      <c r="B54" s="6"/>
      <c r="C54" s="6"/>
      <c r="D54" s="22"/>
    </row>
    <row r="55" spans="1:4" x14ac:dyDescent="0.35">
      <c r="A55" s="9"/>
      <c r="B55" s="6"/>
      <c r="C55" s="6"/>
      <c r="D55" s="22"/>
    </row>
    <row r="56" spans="1:4" x14ac:dyDescent="0.35">
      <c r="A56" s="9"/>
      <c r="B56" s="6"/>
      <c r="C56" s="6"/>
      <c r="D56" s="22"/>
    </row>
    <row r="57" spans="1:4" x14ac:dyDescent="0.35">
      <c r="A57" s="9"/>
      <c r="B57" s="6"/>
      <c r="C57" s="6"/>
      <c r="D57" s="22"/>
    </row>
    <row r="58" spans="1:4" x14ac:dyDescent="0.35">
      <c r="A58" s="9"/>
      <c r="B58" s="6"/>
      <c r="C58" s="6"/>
      <c r="D58" s="22"/>
    </row>
    <row r="59" spans="1:4" x14ac:dyDescent="0.35">
      <c r="A59" s="9"/>
      <c r="B59" s="6"/>
      <c r="C59" s="6"/>
      <c r="D59" s="22"/>
    </row>
    <row r="60" spans="1:4" x14ac:dyDescent="0.35">
      <c r="A60" s="9"/>
      <c r="B60" s="6"/>
      <c r="C60" s="6"/>
      <c r="D60" s="22"/>
    </row>
    <row r="61" spans="1:4" x14ac:dyDescent="0.35">
      <c r="A61" s="9"/>
      <c r="B61" s="6"/>
      <c r="C61" s="6"/>
      <c r="D61" s="22"/>
    </row>
    <row r="62" spans="1:4" x14ac:dyDescent="0.35">
      <c r="A62" s="9"/>
      <c r="B62" s="6"/>
      <c r="C62" s="6"/>
      <c r="D62" s="22"/>
    </row>
    <row r="63" spans="1:4" x14ac:dyDescent="0.35">
      <c r="A63" s="9"/>
      <c r="B63" s="6"/>
      <c r="C63" s="6"/>
      <c r="D63" s="22"/>
    </row>
    <row r="64" spans="1:4" x14ac:dyDescent="0.35">
      <c r="A64" s="9"/>
      <c r="B64" s="6"/>
      <c r="C64" s="6"/>
      <c r="D64" s="22"/>
    </row>
    <row r="65" spans="1:4" x14ac:dyDescent="0.35">
      <c r="A65" s="9"/>
      <c r="B65" s="6"/>
      <c r="C65" s="6"/>
      <c r="D65" s="22"/>
    </row>
    <row r="66" spans="1:4" x14ac:dyDescent="0.35">
      <c r="A66" s="9"/>
      <c r="B66" s="6"/>
      <c r="C66" s="6"/>
      <c r="D66" s="22"/>
    </row>
    <row r="67" spans="1:4" x14ac:dyDescent="0.35">
      <c r="A67" s="9"/>
      <c r="B67" s="6"/>
      <c r="C67" s="6"/>
      <c r="D67" s="22"/>
    </row>
    <row r="68" spans="1:4" x14ac:dyDescent="0.35">
      <c r="A68" s="9"/>
      <c r="B68" s="6"/>
      <c r="C68" s="6"/>
      <c r="D68" s="22"/>
    </row>
    <row r="69" spans="1:4" x14ac:dyDescent="0.35">
      <c r="A69" s="9"/>
      <c r="B69" s="6"/>
      <c r="C69" s="6"/>
      <c r="D69" s="22"/>
    </row>
    <row r="70" spans="1:4" x14ac:dyDescent="0.35">
      <c r="A70" s="9"/>
      <c r="B70" s="6"/>
      <c r="C70" s="6"/>
      <c r="D70" s="22"/>
    </row>
    <row r="71" spans="1:4" x14ac:dyDescent="0.35">
      <c r="A71" s="9"/>
      <c r="B71" s="6"/>
      <c r="C71" s="6"/>
      <c r="D71" s="22"/>
    </row>
    <row r="72" spans="1:4" x14ac:dyDescent="0.35">
      <c r="A72" s="9"/>
      <c r="B72" s="6"/>
      <c r="C72" s="6"/>
      <c r="D72" s="22"/>
    </row>
    <row r="73" spans="1:4" x14ac:dyDescent="0.35">
      <c r="A73" s="9"/>
      <c r="B73" s="6"/>
      <c r="C73" s="6"/>
      <c r="D73" s="22"/>
    </row>
    <row r="74" spans="1:4" x14ac:dyDescent="0.35">
      <c r="A74" s="9"/>
      <c r="B74" s="6"/>
      <c r="C74" s="6"/>
      <c r="D74" s="22"/>
    </row>
    <row r="75" spans="1:4" x14ac:dyDescent="0.35">
      <c r="A75" s="9"/>
      <c r="B75" s="6"/>
      <c r="C75" s="6"/>
      <c r="D75" s="22"/>
    </row>
    <row r="76" spans="1:4" x14ac:dyDescent="0.35">
      <c r="A76" s="9"/>
      <c r="B76" s="6"/>
      <c r="C76" s="6"/>
      <c r="D76" s="22"/>
    </row>
    <row r="77" spans="1:4" x14ac:dyDescent="0.35">
      <c r="A77" s="9"/>
      <c r="B77" s="6"/>
      <c r="C77" s="6"/>
      <c r="D77" s="22"/>
    </row>
    <row r="78" spans="1:4" x14ac:dyDescent="0.35">
      <c r="A78" s="9"/>
      <c r="B78" s="6"/>
      <c r="C78" s="6"/>
      <c r="D78" s="22"/>
    </row>
    <row r="79" spans="1:4" x14ac:dyDescent="0.35">
      <c r="A79" s="9"/>
      <c r="B79" s="6"/>
      <c r="C79" s="6"/>
      <c r="D79" s="22"/>
    </row>
    <row r="80" spans="1:4" x14ac:dyDescent="0.35">
      <c r="A80" s="9"/>
      <c r="B80" s="6"/>
      <c r="C80" s="6"/>
      <c r="D80" s="22"/>
    </row>
    <row r="81" spans="1:4" x14ac:dyDescent="0.35">
      <c r="A81" s="9"/>
      <c r="B81" s="6"/>
      <c r="C81" s="6"/>
      <c r="D81" s="22"/>
    </row>
    <row r="82" spans="1:4" x14ac:dyDescent="0.35">
      <c r="A82" s="9"/>
      <c r="B82" s="6"/>
      <c r="C82" s="6"/>
      <c r="D82" s="22"/>
    </row>
    <row r="83" spans="1:4" x14ac:dyDescent="0.35">
      <c r="A83" s="9"/>
      <c r="B83" s="6"/>
      <c r="C83" s="6"/>
      <c r="D83" s="22"/>
    </row>
    <row r="84" spans="1:4" x14ac:dyDescent="0.35">
      <c r="A84" s="9"/>
      <c r="B84" s="6"/>
      <c r="C84" s="6"/>
      <c r="D84" s="22"/>
    </row>
    <row r="85" spans="1:4" x14ac:dyDescent="0.35">
      <c r="A85" s="9"/>
      <c r="B85" s="6"/>
      <c r="C85" s="6"/>
      <c r="D85" s="22"/>
    </row>
    <row r="86" spans="1:4" x14ac:dyDescent="0.35">
      <c r="A86" s="9"/>
      <c r="B86" s="6"/>
      <c r="C86" s="6"/>
      <c r="D86" s="22"/>
    </row>
    <row r="87" spans="1:4" x14ac:dyDescent="0.35">
      <c r="A87" s="9"/>
      <c r="B87" s="6"/>
      <c r="C87" s="6"/>
      <c r="D87" s="22"/>
    </row>
    <row r="88" spans="1:4" x14ac:dyDescent="0.35">
      <c r="A88" s="9"/>
      <c r="B88" s="6"/>
      <c r="C88" s="6"/>
      <c r="D88" s="22"/>
    </row>
    <row r="89" spans="1:4" x14ac:dyDescent="0.35">
      <c r="A89" s="9"/>
      <c r="B89" s="6"/>
      <c r="C89" s="6"/>
      <c r="D89" s="22"/>
    </row>
    <row r="90" spans="1:4" x14ac:dyDescent="0.35">
      <c r="A90" s="9"/>
      <c r="B90" s="6"/>
      <c r="C90" s="6"/>
      <c r="D90" s="22"/>
    </row>
    <row r="91" spans="1:4" x14ac:dyDescent="0.35">
      <c r="A91" s="9"/>
      <c r="B91" s="6"/>
      <c r="C91" s="6"/>
      <c r="D91" s="22"/>
    </row>
    <row r="92" spans="1:4" x14ac:dyDescent="0.35">
      <c r="A92" s="9"/>
      <c r="B92" s="6"/>
      <c r="C92" s="6"/>
      <c r="D92" s="22"/>
    </row>
    <row r="93" spans="1:4" x14ac:dyDescent="0.35">
      <c r="A93" s="9"/>
      <c r="B93" s="6"/>
      <c r="C93" s="6"/>
      <c r="D93" s="22"/>
    </row>
    <row r="94" spans="1:4" x14ac:dyDescent="0.35">
      <c r="A94" s="9"/>
      <c r="B94" s="6"/>
      <c r="C94" s="6"/>
      <c r="D94" s="22"/>
    </row>
    <row r="95" spans="1:4" x14ac:dyDescent="0.35">
      <c r="A95" s="9"/>
      <c r="B95" s="6"/>
      <c r="C95" s="6"/>
      <c r="D95" s="22"/>
    </row>
    <row r="96" spans="1:4" x14ac:dyDescent="0.35">
      <c r="A96" s="9"/>
      <c r="B96" s="6"/>
      <c r="C96" s="6"/>
      <c r="D96" s="22"/>
    </row>
    <row r="97" spans="1:4" x14ac:dyDescent="0.35">
      <c r="A97" s="9"/>
      <c r="B97" s="6"/>
      <c r="C97" s="6"/>
      <c r="D97" s="22"/>
    </row>
    <row r="98" spans="1:4" x14ac:dyDescent="0.35">
      <c r="A98" s="9"/>
      <c r="B98" s="6"/>
      <c r="C98" s="6"/>
      <c r="D98" s="22"/>
    </row>
    <row r="99" spans="1:4" x14ac:dyDescent="0.35">
      <c r="A99" s="9"/>
      <c r="B99" s="6"/>
      <c r="C99" s="6"/>
      <c r="D99" s="22"/>
    </row>
    <row r="100" spans="1:4" x14ac:dyDescent="0.35">
      <c r="A100" s="9"/>
      <c r="B100" s="6"/>
      <c r="C100" s="6"/>
      <c r="D100" s="22"/>
    </row>
    <row r="101" spans="1:4" x14ac:dyDescent="0.35">
      <c r="A101" s="9"/>
      <c r="B101" s="6"/>
      <c r="C101" s="6"/>
      <c r="D101" s="22"/>
    </row>
    <row r="102" spans="1:4" x14ac:dyDescent="0.35">
      <c r="A102" s="9"/>
      <c r="B102" s="6"/>
      <c r="C102" s="6"/>
      <c r="D102" s="22"/>
    </row>
    <row r="103" spans="1:4" x14ac:dyDescent="0.35">
      <c r="A103" s="9"/>
      <c r="B103" s="6"/>
      <c r="C103" s="6"/>
      <c r="D103" s="22"/>
    </row>
    <row r="104" spans="1:4" x14ac:dyDescent="0.35">
      <c r="A104" s="9"/>
      <c r="B104" s="6"/>
      <c r="C104" s="6"/>
      <c r="D104" s="22"/>
    </row>
    <row r="105" spans="1:4" x14ac:dyDescent="0.35">
      <c r="A105" s="9"/>
      <c r="B105" s="6"/>
      <c r="C105" s="6"/>
      <c r="D105" s="22"/>
    </row>
    <row r="106" spans="1:4" x14ac:dyDescent="0.35">
      <c r="A106" s="9"/>
      <c r="B106" s="6"/>
      <c r="C106" s="6"/>
      <c r="D106" s="22"/>
    </row>
    <row r="107" spans="1:4" x14ac:dyDescent="0.35">
      <c r="A107" s="9"/>
      <c r="B107" s="6"/>
      <c r="C107" s="6"/>
      <c r="D107" s="22"/>
    </row>
    <row r="108" spans="1:4" x14ac:dyDescent="0.35">
      <c r="A108" s="9"/>
      <c r="B108" s="6"/>
      <c r="C108" s="6"/>
      <c r="D108" s="22"/>
    </row>
    <row r="109" spans="1:4" x14ac:dyDescent="0.35">
      <c r="A109" s="9"/>
      <c r="B109" s="6"/>
      <c r="C109" s="6"/>
      <c r="D109" s="22"/>
    </row>
    <row r="110" spans="1:4" x14ac:dyDescent="0.35">
      <c r="A110" s="9"/>
      <c r="B110" s="6"/>
      <c r="C110" s="6"/>
      <c r="D110" s="22"/>
    </row>
    <row r="111" spans="1:4" x14ac:dyDescent="0.35">
      <c r="A111" s="9"/>
      <c r="B111" s="6"/>
      <c r="C111" s="6"/>
      <c r="D111" s="22"/>
    </row>
    <row r="112" spans="1:4" x14ac:dyDescent="0.35">
      <c r="A112" s="9"/>
      <c r="B112" s="6"/>
      <c r="C112" s="6"/>
      <c r="D112" s="22"/>
    </row>
    <row r="113" spans="1:4" x14ac:dyDescent="0.35">
      <c r="A113" s="9"/>
      <c r="B113" s="6"/>
      <c r="C113" s="6"/>
      <c r="D113" s="22"/>
    </row>
    <row r="114" spans="1:4" x14ac:dyDescent="0.35">
      <c r="A114" s="9"/>
      <c r="B114" s="6"/>
      <c r="C114" s="6"/>
      <c r="D114" s="22"/>
    </row>
    <row r="115" spans="1:4" x14ac:dyDescent="0.35">
      <c r="A115" s="9"/>
      <c r="B115" s="6"/>
      <c r="C115" s="6"/>
      <c r="D115" s="22"/>
    </row>
    <row r="116" spans="1:4" x14ac:dyDescent="0.35">
      <c r="A116" s="9"/>
      <c r="B116" s="6"/>
      <c r="C116" s="6"/>
      <c r="D116" s="22"/>
    </row>
    <row r="117" spans="1:4" x14ac:dyDescent="0.35">
      <c r="A117" s="9"/>
      <c r="B117" s="6"/>
      <c r="C117" s="6"/>
      <c r="D117" s="22"/>
    </row>
    <row r="118" spans="1:4" x14ac:dyDescent="0.35">
      <c r="A118" s="9"/>
      <c r="B118" s="6"/>
      <c r="C118" s="6"/>
      <c r="D118" s="22"/>
    </row>
    <row r="119" spans="1:4" x14ac:dyDescent="0.35">
      <c r="A119" s="9"/>
      <c r="B119" s="6"/>
      <c r="C119" s="6"/>
      <c r="D119" s="22"/>
    </row>
    <row r="120" spans="1:4" x14ac:dyDescent="0.35">
      <c r="A120" s="9"/>
      <c r="B120" s="6"/>
      <c r="C120" s="6"/>
      <c r="D120" s="22"/>
    </row>
    <row r="121" spans="1:4" x14ac:dyDescent="0.35">
      <c r="A121" s="9"/>
      <c r="B121" s="6"/>
      <c r="C121" s="6"/>
      <c r="D121" s="22"/>
    </row>
    <row r="122" spans="1:4" x14ac:dyDescent="0.35">
      <c r="A122" s="9"/>
      <c r="B122" s="6"/>
      <c r="C122" s="6"/>
      <c r="D122" s="22"/>
    </row>
    <row r="123" spans="1:4" x14ac:dyDescent="0.35">
      <c r="A123" s="9"/>
      <c r="B123" s="6"/>
      <c r="C123" s="6"/>
      <c r="D123" s="22"/>
    </row>
    <row r="124" spans="1:4" x14ac:dyDescent="0.35">
      <c r="A124" s="9"/>
      <c r="B124" s="6"/>
      <c r="C124" s="6"/>
      <c r="D124" s="22"/>
    </row>
    <row r="125" spans="1:4" x14ac:dyDescent="0.35">
      <c r="A125" s="9"/>
      <c r="B125" s="6"/>
      <c r="C125" s="6"/>
      <c r="D125" s="22"/>
    </row>
    <row r="126" spans="1:4" x14ac:dyDescent="0.35">
      <c r="A126" s="9"/>
      <c r="B126" s="6"/>
      <c r="C126" s="6"/>
      <c r="D126" s="22"/>
    </row>
    <row r="127" spans="1:4" x14ac:dyDescent="0.35">
      <c r="A127" s="9"/>
      <c r="B127" s="6"/>
      <c r="C127" s="6"/>
      <c r="D127" s="22"/>
    </row>
    <row r="128" spans="1:4" x14ac:dyDescent="0.35">
      <c r="A128" s="9"/>
      <c r="B128" s="6"/>
      <c r="C128" s="6"/>
      <c r="D128" s="22"/>
    </row>
    <row r="129" spans="1:4" x14ac:dyDescent="0.35">
      <c r="A129" s="9"/>
      <c r="B129" s="6"/>
      <c r="C129" s="6"/>
      <c r="D129" s="22"/>
    </row>
    <row r="130" spans="1:4" x14ac:dyDescent="0.35">
      <c r="A130" s="9"/>
      <c r="B130" s="6"/>
      <c r="C130" s="6"/>
      <c r="D130" s="22"/>
    </row>
    <row r="131" spans="1:4" x14ac:dyDescent="0.35">
      <c r="A131" s="9"/>
      <c r="B131" s="6"/>
      <c r="C131" s="6"/>
      <c r="D131" s="22"/>
    </row>
    <row r="132" spans="1:4" x14ac:dyDescent="0.35">
      <c r="A132" s="9"/>
      <c r="B132" s="6"/>
      <c r="C132" s="6"/>
      <c r="D132" s="22"/>
    </row>
    <row r="133" spans="1:4" x14ac:dyDescent="0.35">
      <c r="A133" s="9"/>
      <c r="B133" s="6"/>
      <c r="C133" s="6"/>
      <c r="D133" s="22"/>
    </row>
    <row r="134" spans="1:4" x14ac:dyDescent="0.35">
      <c r="A134" s="9"/>
      <c r="B134" s="6"/>
      <c r="C134" s="6"/>
      <c r="D134" s="22"/>
    </row>
    <row r="135" spans="1:4" x14ac:dyDescent="0.35">
      <c r="A135" s="9"/>
      <c r="B135" s="6"/>
      <c r="C135" s="6"/>
      <c r="D135" s="22"/>
    </row>
    <row r="136" spans="1:4" x14ac:dyDescent="0.35">
      <c r="A136" s="9"/>
      <c r="B136" s="6"/>
      <c r="C136" s="6"/>
      <c r="D136" s="22"/>
    </row>
    <row r="137" spans="1:4" x14ac:dyDescent="0.35">
      <c r="A137" s="9"/>
      <c r="B137" s="6"/>
      <c r="C137" s="6"/>
      <c r="D137" s="22"/>
    </row>
    <row r="138" spans="1:4" x14ac:dyDescent="0.35">
      <c r="A138" s="9"/>
      <c r="B138" s="6"/>
      <c r="C138" s="6"/>
      <c r="D138" s="22"/>
    </row>
    <row r="139" spans="1:4" x14ac:dyDescent="0.35">
      <c r="A139" s="9"/>
      <c r="B139" s="6"/>
      <c r="C139" s="6"/>
      <c r="D139" s="22"/>
    </row>
    <row r="140" spans="1:4" x14ac:dyDescent="0.35">
      <c r="A140" s="9"/>
      <c r="B140" s="6"/>
      <c r="C140" s="6"/>
      <c r="D140" s="22"/>
    </row>
    <row r="141" spans="1:4" x14ac:dyDescent="0.35">
      <c r="A141" s="9"/>
      <c r="B141" s="6"/>
      <c r="C141" s="6"/>
      <c r="D141" s="22"/>
    </row>
    <row r="142" spans="1:4" x14ac:dyDescent="0.35">
      <c r="A142" s="9"/>
      <c r="B142" s="6"/>
      <c r="C142" s="6"/>
      <c r="D142" s="22"/>
    </row>
    <row r="143" spans="1:4" x14ac:dyDescent="0.35">
      <c r="A143" s="9"/>
      <c r="B143" s="6"/>
      <c r="C143" s="6"/>
      <c r="D143" s="22"/>
    </row>
    <row r="144" spans="1:4" x14ac:dyDescent="0.35">
      <c r="A144" s="9"/>
      <c r="B144" s="6"/>
      <c r="C144" s="6"/>
      <c r="D144" s="22"/>
    </row>
    <row r="145" spans="1:4" x14ac:dyDescent="0.35">
      <c r="A145" s="9"/>
      <c r="B145" s="6"/>
      <c r="C145" s="6"/>
      <c r="D145" s="22"/>
    </row>
    <row r="146" spans="1:4" x14ac:dyDescent="0.35">
      <c r="A146" s="9"/>
      <c r="B146" s="6"/>
      <c r="C146" s="6"/>
      <c r="D146" s="22"/>
    </row>
    <row r="147" spans="1:4" x14ac:dyDescent="0.35">
      <c r="A147" s="9"/>
      <c r="B147" s="6"/>
      <c r="C147" s="6"/>
      <c r="D147" s="22"/>
    </row>
    <row r="148" spans="1:4" x14ac:dyDescent="0.35">
      <c r="A148" s="9"/>
      <c r="B148" s="6"/>
      <c r="C148" s="6"/>
      <c r="D148" s="22"/>
    </row>
    <row r="149" spans="1:4" x14ac:dyDescent="0.35">
      <c r="A149" s="9"/>
      <c r="B149" s="6"/>
      <c r="C149" s="6"/>
      <c r="D149" s="22"/>
    </row>
    <row r="150" spans="1:4" x14ac:dyDescent="0.35">
      <c r="A150" s="9"/>
      <c r="B150" s="6"/>
      <c r="C150" s="6"/>
      <c r="D150" s="22"/>
    </row>
    <row r="151" spans="1:4" x14ac:dyDescent="0.35">
      <c r="A151" s="9"/>
      <c r="B151" s="6"/>
      <c r="C151" s="6"/>
      <c r="D151" s="22"/>
    </row>
    <row r="152" spans="1:4" x14ac:dyDescent="0.35">
      <c r="A152" s="9"/>
      <c r="B152" s="6"/>
      <c r="C152" s="6"/>
      <c r="D152" s="22"/>
    </row>
    <row r="153" spans="1:4" x14ac:dyDescent="0.35">
      <c r="A153" s="9"/>
      <c r="B153" s="6"/>
      <c r="C153" s="6"/>
      <c r="D153" s="22"/>
    </row>
    <row r="154" spans="1:4" x14ac:dyDescent="0.35">
      <c r="A154" s="9"/>
      <c r="B154" s="6"/>
      <c r="C154" s="6"/>
      <c r="D154" s="22"/>
    </row>
    <row r="155" spans="1:4" x14ac:dyDescent="0.35">
      <c r="A155" s="9"/>
      <c r="B155" s="6"/>
      <c r="C155" s="6"/>
      <c r="D155" s="22"/>
    </row>
    <row r="156" spans="1:4" x14ac:dyDescent="0.35">
      <c r="A156" s="9"/>
      <c r="B156" s="6"/>
      <c r="C156" s="6"/>
      <c r="D156" s="22"/>
    </row>
    <row r="157" spans="1:4" x14ac:dyDescent="0.35">
      <c r="A157" s="9"/>
      <c r="B157" s="6"/>
      <c r="C157" s="6"/>
      <c r="D157" s="22"/>
    </row>
    <row r="158" spans="1:4" x14ac:dyDescent="0.35">
      <c r="A158" s="9"/>
      <c r="B158" s="6"/>
      <c r="C158" s="6"/>
      <c r="D158" s="22"/>
    </row>
    <row r="159" spans="1:4" x14ac:dyDescent="0.35">
      <c r="A159" s="9"/>
      <c r="B159" s="6"/>
      <c r="C159" s="6"/>
      <c r="D159" s="22"/>
    </row>
    <row r="160" spans="1:4" x14ac:dyDescent="0.35">
      <c r="A160" s="9"/>
      <c r="B160" s="6"/>
      <c r="C160" s="6"/>
      <c r="D160" s="22"/>
    </row>
    <row r="161" spans="1:4" x14ac:dyDescent="0.35">
      <c r="A161" s="9"/>
      <c r="B161" s="6"/>
      <c r="C161" s="6"/>
      <c r="D161" s="22"/>
    </row>
    <row r="162" spans="1:4" x14ac:dyDescent="0.35">
      <c r="A162" s="9"/>
      <c r="B162" s="6"/>
      <c r="C162" s="6"/>
      <c r="D162" s="22"/>
    </row>
    <row r="163" spans="1:4" x14ac:dyDescent="0.35">
      <c r="A163" s="9"/>
      <c r="B163" s="6"/>
      <c r="C163" s="6"/>
      <c r="D163" s="22"/>
    </row>
    <row r="164" spans="1:4" x14ac:dyDescent="0.35">
      <c r="A164" s="9"/>
      <c r="B164" s="6"/>
      <c r="C164" s="6"/>
      <c r="D164" s="22"/>
    </row>
    <row r="165" spans="1:4" x14ac:dyDescent="0.35">
      <c r="A165" s="9"/>
      <c r="B165" s="6"/>
      <c r="C165" s="6"/>
      <c r="D165" s="22"/>
    </row>
    <row r="166" spans="1:4" x14ac:dyDescent="0.35">
      <c r="A166" s="9"/>
      <c r="B166" s="6"/>
      <c r="C166" s="6"/>
      <c r="D166" s="22"/>
    </row>
    <row r="167" spans="1:4" x14ac:dyDescent="0.35">
      <c r="A167" s="9"/>
      <c r="B167" s="6"/>
      <c r="C167" s="6"/>
      <c r="D167" s="22"/>
    </row>
    <row r="168" spans="1:4" x14ac:dyDescent="0.35">
      <c r="A168" s="9"/>
      <c r="B168" s="6"/>
      <c r="C168" s="6"/>
      <c r="D168" s="22"/>
    </row>
    <row r="169" spans="1:4" x14ac:dyDescent="0.35">
      <c r="A169" s="9"/>
      <c r="B169" s="6"/>
      <c r="C169" s="6"/>
      <c r="D169" s="22"/>
    </row>
    <row r="170" spans="1:4" x14ac:dyDescent="0.35">
      <c r="A170" s="9"/>
      <c r="B170" s="6"/>
      <c r="C170" s="6"/>
      <c r="D170" s="22"/>
    </row>
    <row r="171" spans="1:4" x14ac:dyDescent="0.35">
      <c r="A171" s="9"/>
      <c r="B171" s="6"/>
      <c r="C171" s="6"/>
      <c r="D171" s="22"/>
    </row>
    <row r="172" spans="1:4" x14ac:dyDescent="0.35">
      <c r="A172" s="9"/>
      <c r="B172" s="6"/>
      <c r="C172" s="6"/>
      <c r="D172" s="22"/>
    </row>
    <row r="173" spans="1:4" x14ac:dyDescent="0.35">
      <c r="A173" s="9"/>
      <c r="B173" s="6"/>
      <c r="C173" s="6"/>
      <c r="D173" s="22"/>
    </row>
    <row r="174" spans="1:4" x14ac:dyDescent="0.35">
      <c r="A174" s="9"/>
      <c r="B174" s="6"/>
      <c r="C174" s="6"/>
      <c r="D174" s="22"/>
    </row>
    <row r="175" spans="1:4" x14ac:dyDescent="0.35">
      <c r="A175" s="9"/>
      <c r="B175" s="6"/>
      <c r="C175" s="6"/>
      <c r="D175" s="22"/>
    </row>
    <row r="176" spans="1:4" x14ac:dyDescent="0.35">
      <c r="A176" s="9"/>
      <c r="B176" s="6"/>
      <c r="C176" s="6"/>
      <c r="D176" s="22"/>
    </row>
    <row r="177" spans="1:4" x14ac:dyDescent="0.35">
      <c r="A177" s="9"/>
      <c r="B177" s="6"/>
      <c r="C177" s="6"/>
      <c r="D177" s="22"/>
    </row>
    <row r="178" spans="1:4" x14ac:dyDescent="0.35">
      <c r="A178" s="9"/>
      <c r="B178" s="6"/>
      <c r="C178" s="6"/>
      <c r="D178" s="22"/>
    </row>
    <row r="179" spans="1:4" x14ac:dyDescent="0.35">
      <c r="A179" s="9"/>
      <c r="B179" s="6"/>
      <c r="C179" s="6"/>
      <c r="D179" s="22"/>
    </row>
    <row r="180" spans="1:4" x14ac:dyDescent="0.35">
      <c r="A180" s="9"/>
      <c r="B180" s="6"/>
      <c r="C180" s="6"/>
      <c r="D180" s="22"/>
    </row>
    <row r="181" spans="1:4" x14ac:dyDescent="0.35">
      <c r="A181" s="9"/>
      <c r="B181" s="6"/>
      <c r="C181" s="6"/>
      <c r="D181" s="22"/>
    </row>
    <row r="182" spans="1:4" x14ac:dyDescent="0.35">
      <c r="A182" s="9"/>
      <c r="B182" s="6"/>
      <c r="C182" s="6"/>
      <c r="D182" s="22"/>
    </row>
    <row r="183" spans="1:4" x14ac:dyDescent="0.35">
      <c r="A183" s="9"/>
      <c r="B183" s="6"/>
      <c r="C183" s="6"/>
      <c r="D183" s="22"/>
    </row>
    <row r="184" spans="1:4" x14ac:dyDescent="0.35">
      <c r="A184" s="9"/>
      <c r="B184" s="6"/>
      <c r="C184" s="6"/>
      <c r="D184" s="22"/>
    </row>
    <row r="185" spans="1:4" x14ac:dyDescent="0.35">
      <c r="A185" s="9"/>
      <c r="B185" s="6"/>
      <c r="C185" s="6"/>
      <c r="D185" s="22"/>
    </row>
    <row r="186" spans="1:4" x14ac:dyDescent="0.35">
      <c r="A186" s="9"/>
      <c r="B186" s="6"/>
      <c r="C186" s="6"/>
      <c r="D186" s="22"/>
    </row>
    <row r="187" spans="1:4" x14ac:dyDescent="0.35">
      <c r="A187" s="9"/>
      <c r="B187" s="6"/>
      <c r="C187" s="6"/>
      <c r="D187" s="22"/>
    </row>
    <row r="188" spans="1:4" x14ac:dyDescent="0.35">
      <c r="A188" s="9"/>
      <c r="B188" s="6"/>
      <c r="C188" s="6"/>
      <c r="D188" s="22"/>
    </row>
    <row r="189" spans="1:4" x14ac:dyDescent="0.35">
      <c r="A189" s="9"/>
      <c r="B189" s="6"/>
      <c r="C189" s="6"/>
      <c r="D189" s="22"/>
    </row>
    <row r="190" spans="1:4" x14ac:dyDescent="0.35">
      <c r="A190" s="9"/>
      <c r="B190" s="6"/>
      <c r="C190" s="6"/>
      <c r="D190" s="22"/>
    </row>
    <row r="191" spans="1:4" x14ac:dyDescent="0.35">
      <c r="A191" s="9"/>
      <c r="B191" s="6"/>
      <c r="C191" s="6"/>
      <c r="D191" s="22"/>
    </row>
    <row r="192" spans="1:4" x14ac:dyDescent="0.35">
      <c r="A192" s="9"/>
      <c r="B192" s="6"/>
      <c r="C192" s="6"/>
      <c r="D192" s="22"/>
    </row>
    <row r="193" spans="1:4" x14ac:dyDescent="0.35">
      <c r="A193" s="9"/>
      <c r="B193" s="6"/>
      <c r="C193" s="6"/>
      <c r="D193" s="22"/>
    </row>
    <row r="194" spans="1:4" x14ac:dyDescent="0.35">
      <c r="A194" s="9"/>
      <c r="B194" s="6"/>
      <c r="C194" s="6"/>
      <c r="D194" s="22"/>
    </row>
    <row r="195" spans="1:4" x14ac:dyDescent="0.35">
      <c r="A195" s="9"/>
      <c r="B195" s="6"/>
      <c r="C195" s="6"/>
      <c r="D195" s="22"/>
    </row>
    <row r="196" spans="1:4" x14ac:dyDescent="0.35">
      <c r="A196" s="9"/>
      <c r="B196" s="6"/>
      <c r="C196" s="6"/>
      <c r="D196" s="22"/>
    </row>
    <row r="197" spans="1:4" x14ac:dyDescent="0.35">
      <c r="A197" s="9"/>
      <c r="B197" s="6"/>
      <c r="C197" s="6"/>
      <c r="D197" s="22"/>
    </row>
    <row r="198" spans="1:4" x14ac:dyDescent="0.35">
      <c r="A198" s="9"/>
      <c r="B198" s="6"/>
      <c r="C198" s="6"/>
      <c r="D198" s="22"/>
    </row>
    <row r="199" spans="1:4" x14ac:dyDescent="0.35">
      <c r="A199" s="9"/>
      <c r="B199" s="6"/>
      <c r="C199" s="6"/>
      <c r="D199" s="22"/>
    </row>
    <row r="200" spans="1:4" x14ac:dyDescent="0.35">
      <c r="A200" s="9"/>
      <c r="B200" s="6"/>
      <c r="C200" s="6"/>
      <c r="D200" s="22"/>
    </row>
    <row r="201" spans="1:4" x14ac:dyDescent="0.35">
      <c r="A201" s="9"/>
      <c r="B201" s="6"/>
      <c r="C201" s="6"/>
      <c r="D201" s="22"/>
    </row>
    <row r="202" spans="1:4" x14ac:dyDescent="0.35">
      <c r="A202" s="9"/>
      <c r="B202" s="6"/>
      <c r="C202" s="6"/>
      <c r="D202" s="22"/>
    </row>
    <row r="203" spans="1:4" x14ac:dyDescent="0.35">
      <c r="A203" s="9"/>
      <c r="B203" s="6"/>
      <c r="C203" s="6"/>
      <c r="D203" s="22"/>
    </row>
    <row r="204" spans="1:4" x14ac:dyDescent="0.35">
      <c r="A204" s="9"/>
      <c r="B204" s="6"/>
      <c r="C204" s="6"/>
      <c r="D204" s="22"/>
    </row>
    <row r="205" spans="1:4" x14ac:dyDescent="0.35">
      <c r="A205" s="9"/>
      <c r="B205" s="6"/>
      <c r="C205" s="6"/>
      <c r="D205" s="22"/>
    </row>
    <row r="206" spans="1:4" x14ac:dyDescent="0.35">
      <c r="A206" s="9"/>
      <c r="B206" s="6"/>
      <c r="C206" s="6"/>
      <c r="D206" s="22"/>
    </row>
    <row r="207" spans="1:4" x14ac:dyDescent="0.35">
      <c r="A207" s="9"/>
      <c r="B207" s="6"/>
      <c r="C207" s="6"/>
      <c r="D207" s="22"/>
    </row>
    <row r="208" spans="1:4" x14ac:dyDescent="0.35">
      <c r="A208" s="9"/>
      <c r="B208" s="6"/>
      <c r="C208" s="6"/>
      <c r="D208" s="22"/>
    </row>
    <row r="209" spans="1:4" x14ac:dyDescent="0.35">
      <c r="A209" s="9"/>
      <c r="B209" s="6"/>
      <c r="C209" s="6"/>
      <c r="D209" s="22"/>
    </row>
    <row r="210" spans="1:4" x14ac:dyDescent="0.35">
      <c r="A210" s="9"/>
      <c r="B210" s="6"/>
      <c r="C210" s="6"/>
      <c r="D210" s="22"/>
    </row>
    <row r="211" spans="1:4" x14ac:dyDescent="0.35">
      <c r="A211" s="9"/>
      <c r="B211" s="6"/>
      <c r="C211" s="6"/>
      <c r="D211" s="22"/>
    </row>
    <row r="212" spans="1:4" x14ac:dyDescent="0.35">
      <c r="A212" s="9"/>
      <c r="B212" s="6"/>
      <c r="C212" s="6"/>
      <c r="D212" s="22"/>
    </row>
    <row r="213" spans="1:4" x14ac:dyDescent="0.35">
      <c r="A213" s="9"/>
      <c r="B213" s="6"/>
      <c r="C213" s="6"/>
      <c r="D213" s="22"/>
    </row>
    <row r="214" spans="1:4" x14ac:dyDescent="0.35">
      <c r="A214" s="9"/>
      <c r="B214" s="6"/>
      <c r="C214" s="6"/>
      <c r="D214" s="22"/>
    </row>
    <row r="215" spans="1:4" x14ac:dyDescent="0.35">
      <c r="A215" s="9"/>
      <c r="B215" s="6"/>
      <c r="C215" s="6"/>
      <c r="D215" s="22"/>
    </row>
    <row r="216" spans="1:4" x14ac:dyDescent="0.35">
      <c r="A216" s="9"/>
      <c r="B216" s="6"/>
      <c r="C216" s="6"/>
      <c r="D216" s="22"/>
    </row>
    <row r="217" spans="1:4" x14ac:dyDescent="0.35">
      <c r="A217" s="9"/>
      <c r="B217" s="6"/>
      <c r="C217" s="6"/>
      <c r="D217" s="22"/>
    </row>
    <row r="218" spans="1:4" x14ac:dyDescent="0.35">
      <c r="A218" s="9"/>
      <c r="B218" s="6"/>
      <c r="C218" s="6"/>
      <c r="D218" s="22"/>
    </row>
    <row r="219" spans="1:4" x14ac:dyDescent="0.35">
      <c r="A219" s="9"/>
      <c r="B219" s="6"/>
      <c r="C219" s="6"/>
      <c r="D219" s="22"/>
    </row>
    <row r="220" spans="1:4" x14ac:dyDescent="0.35">
      <c r="A220" s="9"/>
      <c r="B220" s="6"/>
      <c r="C220" s="6"/>
      <c r="D220" s="22"/>
    </row>
    <row r="221" spans="1:4" x14ac:dyDescent="0.35">
      <c r="A221" s="9"/>
      <c r="B221" s="6"/>
      <c r="C221" s="6"/>
      <c r="D221" s="22"/>
    </row>
    <row r="222" spans="1:4" x14ac:dyDescent="0.35">
      <c r="A222" s="9"/>
      <c r="B222" s="6"/>
      <c r="C222" s="6"/>
      <c r="D222" s="22"/>
    </row>
    <row r="223" spans="1:4" x14ac:dyDescent="0.35">
      <c r="A223" s="9"/>
      <c r="B223" s="6"/>
      <c r="C223" s="6"/>
      <c r="D223" s="22"/>
    </row>
    <row r="224" spans="1:4" x14ac:dyDescent="0.35">
      <c r="A224" s="9"/>
      <c r="B224" s="6"/>
      <c r="C224" s="6"/>
      <c r="D224" s="22"/>
    </row>
    <row r="225" spans="1:4" x14ac:dyDescent="0.35">
      <c r="A225" s="9"/>
      <c r="B225" s="6"/>
      <c r="C225" s="6"/>
      <c r="D225" s="22"/>
    </row>
    <row r="226" spans="1:4" x14ac:dyDescent="0.35">
      <c r="A226" s="9"/>
      <c r="B226" s="6"/>
      <c r="C226" s="6"/>
      <c r="D226" s="22"/>
    </row>
    <row r="227" spans="1:4" x14ac:dyDescent="0.35">
      <c r="A227" s="9"/>
      <c r="B227" s="6"/>
      <c r="C227" s="6"/>
      <c r="D227" s="22"/>
    </row>
    <row r="228" spans="1:4" x14ac:dyDescent="0.35">
      <c r="A228" s="9"/>
      <c r="B228" s="6"/>
      <c r="C228" s="6"/>
      <c r="D228" s="22"/>
    </row>
    <row r="229" spans="1:4" x14ac:dyDescent="0.35">
      <c r="A229" s="9"/>
      <c r="B229" s="6"/>
      <c r="C229" s="6"/>
      <c r="D229" s="22"/>
    </row>
    <row r="230" spans="1:4" x14ac:dyDescent="0.35">
      <c r="A230" s="9"/>
      <c r="B230" s="6"/>
      <c r="C230" s="6"/>
      <c r="D230" s="22"/>
    </row>
    <row r="231" spans="1:4" x14ac:dyDescent="0.35">
      <c r="A231" s="9"/>
      <c r="B231" s="6"/>
      <c r="C231" s="6"/>
      <c r="D231" s="22"/>
    </row>
    <row r="232" spans="1:4" x14ac:dyDescent="0.35">
      <c r="A232" s="9"/>
      <c r="B232" s="6"/>
      <c r="C232" s="6"/>
      <c r="D232" s="22"/>
    </row>
    <row r="233" spans="1:4" x14ac:dyDescent="0.35">
      <c r="A233" s="9"/>
      <c r="B233" s="6"/>
      <c r="C233" s="6"/>
      <c r="D233" s="22"/>
    </row>
    <row r="234" spans="1:4" x14ac:dyDescent="0.35">
      <c r="A234" s="9"/>
      <c r="B234" s="6"/>
      <c r="C234" s="6"/>
      <c r="D234" s="22"/>
    </row>
    <row r="235" spans="1:4" x14ac:dyDescent="0.35">
      <c r="A235" s="9"/>
      <c r="B235" s="6"/>
      <c r="C235" s="6"/>
      <c r="D235" s="22"/>
    </row>
    <row r="236" spans="1:4" x14ac:dyDescent="0.35">
      <c r="A236" s="9"/>
      <c r="B236" s="6"/>
      <c r="C236" s="6"/>
      <c r="D236" s="22"/>
    </row>
    <row r="237" spans="1:4" x14ac:dyDescent="0.35">
      <c r="A237" s="9"/>
      <c r="B237" s="6"/>
      <c r="C237" s="6"/>
      <c r="D237" s="22"/>
    </row>
    <row r="238" spans="1:4" x14ac:dyDescent="0.35">
      <c r="A238" s="9"/>
      <c r="B238" s="6"/>
      <c r="C238" s="6"/>
      <c r="D238" s="22"/>
    </row>
    <row r="239" spans="1:4" x14ac:dyDescent="0.35">
      <c r="A239" s="9"/>
      <c r="B239" s="6"/>
      <c r="C239" s="6"/>
      <c r="D239" s="22"/>
    </row>
    <row r="240" spans="1:4" x14ac:dyDescent="0.35">
      <c r="A240" s="9"/>
      <c r="B240" s="6"/>
      <c r="C240" s="6"/>
      <c r="D240" s="22"/>
    </row>
    <row r="241" spans="1:4" x14ac:dyDescent="0.35">
      <c r="A241" s="9"/>
      <c r="B241" s="6"/>
      <c r="C241" s="6"/>
      <c r="D241" s="22"/>
    </row>
    <row r="242" spans="1:4" x14ac:dyDescent="0.35">
      <c r="A242" s="9"/>
      <c r="B242" s="6"/>
      <c r="C242" s="6"/>
      <c r="D242" s="22"/>
    </row>
    <row r="243" spans="1:4" x14ac:dyDescent="0.35">
      <c r="A243" s="9"/>
      <c r="B243" s="6"/>
      <c r="C243" s="6"/>
      <c r="D243" s="22"/>
    </row>
    <row r="244" spans="1:4" x14ac:dyDescent="0.35">
      <c r="A244" s="9"/>
      <c r="B244" s="6"/>
      <c r="C244" s="6"/>
      <c r="D244" s="22"/>
    </row>
    <row r="245" spans="1:4" x14ac:dyDescent="0.35">
      <c r="A245" s="9"/>
      <c r="B245" s="6"/>
      <c r="C245" s="6"/>
      <c r="D245" s="22"/>
    </row>
    <row r="246" spans="1:4" x14ac:dyDescent="0.35">
      <c r="A246" s="9"/>
      <c r="B246" s="6"/>
      <c r="C246" s="6"/>
      <c r="D246" s="22"/>
    </row>
    <row r="247" spans="1:4" x14ac:dyDescent="0.35">
      <c r="A247" s="9"/>
      <c r="B247" s="6"/>
      <c r="C247" s="6"/>
      <c r="D247" s="22"/>
    </row>
    <row r="248" spans="1:4" x14ac:dyDescent="0.35">
      <c r="A248" s="9"/>
      <c r="B248" s="6"/>
      <c r="C248" s="6"/>
      <c r="D248" s="22"/>
    </row>
    <row r="249" spans="1:4" x14ac:dyDescent="0.35">
      <c r="A249" s="9"/>
      <c r="B249" s="6"/>
      <c r="C249" s="6"/>
      <c r="D249" s="22"/>
    </row>
    <row r="250" spans="1:4" x14ac:dyDescent="0.35">
      <c r="A250" s="9"/>
      <c r="B250" s="6"/>
      <c r="C250" s="6"/>
      <c r="D250" s="22"/>
    </row>
    <row r="251" spans="1:4" x14ac:dyDescent="0.35">
      <c r="A251" s="9"/>
      <c r="B251" s="6"/>
      <c r="C251" s="6"/>
      <c r="D251" s="22"/>
    </row>
    <row r="252" spans="1:4" x14ac:dyDescent="0.35">
      <c r="A252" s="9"/>
      <c r="B252" s="6"/>
      <c r="C252" s="6"/>
      <c r="D252" s="22"/>
    </row>
    <row r="253" spans="1:4" x14ac:dyDescent="0.35">
      <c r="A253" s="9"/>
      <c r="B253" s="6"/>
      <c r="C253" s="6"/>
      <c r="D253" s="22"/>
    </row>
    <row r="254" spans="1:4" x14ac:dyDescent="0.35">
      <c r="A254" s="9"/>
      <c r="B254" s="6"/>
      <c r="C254" s="6"/>
      <c r="D254" s="22"/>
    </row>
    <row r="255" spans="1:4" x14ac:dyDescent="0.35">
      <c r="A255" s="9"/>
      <c r="B255" s="6"/>
      <c r="C255" s="6"/>
      <c r="D255" s="22"/>
    </row>
    <row r="256" spans="1:4" x14ac:dyDescent="0.35">
      <c r="A256" s="9"/>
      <c r="B256" s="6"/>
      <c r="C256" s="6"/>
      <c r="D256" s="22"/>
    </row>
    <row r="257" spans="1:4" x14ac:dyDescent="0.35">
      <c r="A257" s="9"/>
      <c r="B257" s="6"/>
      <c r="C257" s="6"/>
      <c r="D257" s="22"/>
    </row>
    <row r="258" spans="1:4" x14ac:dyDescent="0.35">
      <c r="A258" s="9"/>
      <c r="B258" s="6"/>
      <c r="C258" s="6"/>
      <c r="D258" s="22"/>
    </row>
    <row r="259" spans="1:4" x14ac:dyDescent="0.35">
      <c r="A259" s="9"/>
      <c r="B259" s="6"/>
      <c r="C259" s="6"/>
      <c r="D259" s="22"/>
    </row>
    <row r="260" spans="1:4" x14ac:dyDescent="0.35">
      <c r="A260" s="9"/>
      <c r="B260" s="6"/>
      <c r="C260" s="6"/>
      <c r="D260" s="22"/>
    </row>
    <row r="261" spans="1:4" x14ac:dyDescent="0.35">
      <c r="A261" s="9"/>
      <c r="B261" s="6"/>
      <c r="C261" s="6"/>
      <c r="D261" s="22"/>
    </row>
    <row r="262" spans="1:4" x14ac:dyDescent="0.35">
      <c r="A262" s="9"/>
      <c r="B262" s="6"/>
      <c r="C262" s="6"/>
      <c r="D262" s="22"/>
    </row>
    <row r="263" spans="1:4" x14ac:dyDescent="0.35">
      <c r="A263" s="9"/>
      <c r="B263" s="6"/>
      <c r="C263" s="6"/>
      <c r="D263" s="22"/>
    </row>
    <row r="264" spans="1:4" x14ac:dyDescent="0.35">
      <c r="A264" s="9"/>
      <c r="B264" s="6"/>
      <c r="C264" s="6"/>
      <c r="D264" s="22"/>
    </row>
    <row r="265" spans="1:4" x14ac:dyDescent="0.35">
      <c r="A265" s="9"/>
      <c r="B265" s="6"/>
      <c r="C265" s="6"/>
      <c r="D265" s="22"/>
    </row>
    <row r="266" spans="1:4" x14ac:dyDescent="0.35">
      <c r="A266" s="9"/>
      <c r="B266" s="6"/>
      <c r="C266" s="6"/>
      <c r="D266" s="22"/>
    </row>
    <row r="267" spans="1:4" x14ac:dyDescent="0.35">
      <c r="A267" s="9"/>
      <c r="B267" s="6"/>
      <c r="C267" s="6"/>
      <c r="D267" s="22"/>
    </row>
    <row r="268" spans="1:4" x14ac:dyDescent="0.35">
      <c r="A268" s="9"/>
      <c r="B268" s="6"/>
      <c r="C268" s="6"/>
      <c r="D268" s="22"/>
    </row>
    <row r="269" spans="1:4" x14ac:dyDescent="0.35">
      <c r="A269" s="9"/>
      <c r="B269" s="6"/>
      <c r="C269" s="6"/>
      <c r="D269" s="22"/>
    </row>
    <row r="270" spans="1:4" x14ac:dyDescent="0.35">
      <c r="A270" s="9"/>
      <c r="B270" s="6"/>
      <c r="C270" s="6"/>
      <c r="D270" s="22"/>
    </row>
    <row r="271" spans="1:4" x14ac:dyDescent="0.35">
      <c r="A271" s="9"/>
      <c r="B271" s="6"/>
      <c r="C271" s="6"/>
      <c r="D271" s="22"/>
    </row>
    <row r="272" spans="1:4" x14ac:dyDescent="0.35">
      <c r="A272" s="9"/>
      <c r="B272" s="6"/>
      <c r="C272" s="6"/>
      <c r="D272" s="22"/>
    </row>
    <row r="273" spans="1:4" x14ac:dyDescent="0.35">
      <c r="A273" s="9"/>
      <c r="B273" s="6"/>
      <c r="C273" s="6"/>
      <c r="D273" s="22"/>
    </row>
    <row r="274" spans="1:4" x14ac:dyDescent="0.35">
      <c r="A274" s="9"/>
      <c r="B274" s="6"/>
      <c r="C274" s="6"/>
      <c r="D274" s="22"/>
    </row>
    <row r="275" spans="1:4" x14ac:dyDescent="0.35">
      <c r="A275" s="9"/>
      <c r="B275" s="6"/>
      <c r="C275" s="6"/>
      <c r="D275" s="22"/>
    </row>
    <row r="276" spans="1:4" x14ac:dyDescent="0.35">
      <c r="A276" s="9"/>
      <c r="B276" s="6"/>
      <c r="C276" s="6"/>
      <c r="D276" s="22"/>
    </row>
    <row r="277" spans="1:4" x14ac:dyDescent="0.35">
      <c r="A277" s="9"/>
      <c r="B277" s="6"/>
      <c r="C277" s="6"/>
      <c r="D277" s="22"/>
    </row>
    <row r="278" spans="1:4" x14ac:dyDescent="0.35">
      <c r="A278" s="9"/>
      <c r="B278" s="6"/>
      <c r="C278" s="6"/>
      <c r="D278" s="22"/>
    </row>
    <row r="279" spans="1:4" x14ac:dyDescent="0.35">
      <c r="A279" s="9"/>
      <c r="B279" s="6"/>
      <c r="C279" s="6"/>
      <c r="D279" s="22"/>
    </row>
    <row r="280" spans="1:4" x14ac:dyDescent="0.35">
      <c r="A280" s="9"/>
      <c r="B280" s="6"/>
      <c r="C280" s="6"/>
      <c r="D280" s="22"/>
    </row>
    <row r="281" spans="1:4" x14ac:dyDescent="0.35">
      <c r="A281" s="9"/>
      <c r="B281" s="6"/>
      <c r="C281" s="6"/>
      <c r="D281" s="22"/>
    </row>
    <row r="282" spans="1:4" x14ac:dyDescent="0.35">
      <c r="A282" s="9"/>
      <c r="B282" s="6"/>
      <c r="C282" s="6"/>
      <c r="D282" s="22"/>
    </row>
    <row r="283" spans="1:4" x14ac:dyDescent="0.35">
      <c r="A283" s="9"/>
      <c r="B283" s="6"/>
      <c r="C283" s="6"/>
      <c r="D283" s="22"/>
    </row>
    <row r="284" spans="1:4" x14ac:dyDescent="0.35">
      <c r="A284" s="9"/>
      <c r="B284" s="6"/>
      <c r="C284" s="6"/>
      <c r="D284" s="22"/>
    </row>
    <row r="285" spans="1:4" x14ac:dyDescent="0.35">
      <c r="A285" s="9"/>
      <c r="B285" s="6"/>
      <c r="C285" s="6"/>
      <c r="D285" s="22"/>
    </row>
    <row r="286" spans="1:4" x14ac:dyDescent="0.35">
      <c r="A286" s="9"/>
      <c r="B286" s="6"/>
      <c r="C286" s="6"/>
      <c r="D286" s="22"/>
    </row>
    <row r="287" spans="1:4" x14ac:dyDescent="0.35">
      <c r="A287" s="9"/>
      <c r="B287" s="6"/>
      <c r="C287" s="6"/>
      <c r="D287" s="22"/>
    </row>
    <row r="288" spans="1:4" x14ac:dyDescent="0.35">
      <c r="A288" s="9"/>
      <c r="B288" s="6"/>
      <c r="C288" s="6"/>
      <c r="D288" s="22"/>
    </row>
    <row r="289" spans="1:4" x14ac:dyDescent="0.35">
      <c r="A289" s="9"/>
      <c r="B289" s="6"/>
      <c r="C289" s="6"/>
      <c r="D289" s="22"/>
    </row>
    <row r="290" spans="1:4" x14ac:dyDescent="0.35">
      <c r="A290" s="9"/>
      <c r="B290" s="6"/>
      <c r="C290" s="6"/>
      <c r="D290" s="22"/>
    </row>
    <row r="291" spans="1:4" x14ac:dyDescent="0.35">
      <c r="A291" s="9"/>
      <c r="B291" s="6"/>
      <c r="C291" s="6"/>
      <c r="D291" s="22"/>
    </row>
    <row r="292" spans="1:4" x14ac:dyDescent="0.35">
      <c r="A292" s="9"/>
      <c r="B292" s="6"/>
      <c r="C292" s="6"/>
      <c r="D292" s="22"/>
    </row>
    <row r="293" spans="1:4" x14ac:dyDescent="0.35">
      <c r="A293" s="9"/>
      <c r="B293" s="6"/>
      <c r="C293" s="6"/>
      <c r="D293" s="22"/>
    </row>
    <row r="294" spans="1:4" x14ac:dyDescent="0.35">
      <c r="A294" s="9"/>
      <c r="B294" s="6"/>
      <c r="C294" s="6"/>
      <c r="D294" s="22"/>
    </row>
    <row r="295" spans="1:4" x14ac:dyDescent="0.35">
      <c r="A295" s="9"/>
      <c r="B295" s="6"/>
      <c r="C295" s="6"/>
      <c r="D295" s="22"/>
    </row>
    <row r="296" spans="1:4" x14ac:dyDescent="0.35">
      <c r="D296" s="18"/>
    </row>
    <row r="297" spans="1:4" x14ac:dyDescent="0.35">
      <c r="D297" s="18"/>
    </row>
    <row r="298" spans="1:4" x14ac:dyDescent="0.35">
      <c r="D298" s="18"/>
    </row>
    <row r="299" spans="1:4" x14ac:dyDescent="0.35">
      <c r="D299" s="18"/>
    </row>
    <row r="300" spans="1:4" x14ac:dyDescent="0.35">
      <c r="D300" s="18"/>
    </row>
    <row r="301" spans="1:4" x14ac:dyDescent="0.35">
      <c r="D301" s="18"/>
    </row>
    <row r="302" spans="1:4" x14ac:dyDescent="0.35">
      <c r="D302" s="18"/>
    </row>
    <row r="303" spans="1:4" x14ac:dyDescent="0.35">
      <c r="D303" s="18"/>
    </row>
  </sheetData>
  <mergeCells count="2">
    <mergeCell ref="F3:G3"/>
    <mergeCell ref="A1:D1"/>
  </mergeCells>
  <dataValidations count="1">
    <dataValidation type="list" allowBlank="1" showInputMessage="1" showErrorMessage="1" sqref="A4:A267" xr:uid="{B3040B7B-F123-44B2-9DAA-BBDA299716E2}">
      <formula1>$F$4:$F$15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0097-1A74-482A-AD41-6A9DA6805BC4}">
  <dimension ref="A1:J129"/>
  <sheetViews>
    <sheetView workbookViewId="0">
      <selection activeCell="E11" sqref="E11"/>
    </sheetView>
  </sheetViews>
  <sheetFormatPr defaultRowHeight="14.5" x14ac:dyDescent="0.35"/>
  <cols>
    <col min="3" max="3" width="10.6328125" customWidth="1"/>
    <col min="4" max="4" width="15.6328125" style="2" customWidth="1"/>
    <col min="5" max="5" width="35.6328125" customWidth="1"/>
    <col min="6" max="6" width="20.6328125" style="2" customWidth="1"/>
    <col min="7" max="7" width="20.6328125" customWidth="1"/>
    <col min="9" max="9" width="15.6328125" customWidth="1"/>
    <col min="10" max="10" width="20.6328125" customWidth="1"/>
  </cols>
  <sheetData>
    <row r="1" spans="1:10" ht="18.5" x14ac:dyDescent="0.45">
      <c r="A1" s="38" t="s">
        <v>54</v>
      </c>
      <c r="B1" s="38"/>
      <c r="C1" s="38"/>
      <c r="D1" s="38"/>
      <c r="E1" s="38"/>
      <c r="F1" s="38"/>
      <c r="G1" s="38"/>
    </row>
    <row r="3" spans="1:10" ht="16" x14ac:dyDescent="0.4">
      <c r="A3" s="23" t="s">
        <v>56</v>
      </c>
      <c r="B3" s="23" t="s">
        <v>50</v>
      </c>
      <c r="C3" s="23" t="s">
        <v>57</v>
      </c>
      <c r="D3" s="23" t="s">
        <v>58</v>
      </c>
      <c r="E3" s="23" t="s">
        <v>59</v>
      </c>
      <c r="F3" s="23" t="s">
        <v>60</v>
      </c>
      <c r="G3" s="23" t="s">
        <v>75</v>
      </c>
      <c r="I3" s="39" t="s">
        <v>55</v>
      </c>
      <c r="J3" s="39"/>
    </row>
    <row r="4" spans="1:10" x14ac:dyDescent="0.35">
      <c r="A4" s="6" t="s">
        <v>4</v>
      </c>
      <c r="B4" s="6">
        <v>3</v>
      </c>
      <c r="C4" s="6">
        <v>50</v>
      </c>
      <c r="D4" s="4" t="s">
        <v>61</v>
      </c>
      <c r="E4" s="6">
        <v>500</v>
      </c>
      <c r="F4" s="24">
        <v>200</v>
      </c>
      <c r="G4" s="25">
        <f>(100*(E4-F4))/E4</f>
        <v>60</v>
      </c>
      <c r="I4" s="10" t="s">
        <v>4</v>
      </c>
      <c r="J4" s="11">
        <f>SUMIF(A4:A200,"JAN",C4:C200)</f>
        <v>112</v>
      </c>
    </row>
    <row r="5" spans="1:10" x14ac:dyDescent="0.35">
      <c r="A5" s="6" t="s">
        <v>4</v>
      </c>
      <c r="B5" s="6">
        <v>23</v>
      </c>
      <c r="C5" s="6">
        <v>50</v>
      </c>
      <c r="D5" s="4" t="s">
        <v>62</v>
      </c>
      <c r="E5" s="6">
        <v>300</v>
      </c>
      <c r="F5" s="24">
        <v>0</v>
      </c>
      <c r="G5" s="25">
        <f t="shared" ref="G5:G68" si="0">(100*(E5-F5))/E5</f>
        <v>100</v>
      </c>
      <c r="I5" s="10" t="s">
        <v>5</v>
      </c>
      <c r="J5" s="11">
        <f>SUMIF(A4:A200,"FEB",C4:C200)</f>
        <v>50</v>
      </c>
    </row>
    <row r="6" spans="1:10" x14ac:dyDescent="0.35">
      <c r="A6" s="6" t="s">
        <v>5</v>
      </c>
      <c r="B6" s="6">
        <v>4</v>
      </c>
      <c r="C6" s="6">
        <v>50</v>
      </c>
      <c r="D6" s="4" t="s">
        <v>63</v>
      </c>
      <c r="E6" s="6">
        <v>1500</v>
      </c>
      <c r="F6" s="24">
        <v>200</v>
      </c>
      <c r="G6" s="25">
        <f t="shared" si="0"/>
        <v>86.666666666666671</v>
      </c>
      <c r="I6" s="10" t="s">
        <v>6</v>
      </c>
      <c r="J6" s="11">
        <f>SUMIF(A4:A200,"MAR",C4:C200)</f>
        <v>46</v>
      </c>
    </row>
    <row r="7" spans="1:10" x14ac:dyDescent="0.35">
      <c r="A7" s="6" t="s">
        <v>24</v>
      </c>
      <c r="B7" s="6">
        <v>5</v>
      </c>
      <c r="C7" s="6">
        <v>80</v>
      </c>
      <c r="D7" s="4" t="s">
        <v>64</v>
      </c>
      <c r="E7" s="6">
        <v>300</v>
      </c>
      <c r="F7" s="24">
        <v>1</v>
      </c>
      <c r="G7" s="25">
        <f t="shared" si="0"/>
        <v>99.666666666666671</v>
      </c>
      <c r="I7" s="10" t="s">
        <v>7</v>
      </c>
      <c r="J7" s="11">
        <f>SUMIF(A4:A200,"APR",C4:C200)</f>
        <v>0</v>
      </c>
    </row>
    <row r="8" spans="1:10" x14ac:dyDescent="0.35">
      <c r="A8" s="6" t="s">
        <v>6</v>
      </c>
      <c r="B8" s="6">
        <v>12</v>
      </c>
      <c r="C8" s="6">
        <v>46</v>
      </c>
      <c r="D8" s="4" t="s">
        <v>28</v>
      </c>
      <c r="E8" s="6">
        <v>21</v>
      </c>
      <c r="F8" s="24">
        <v>2</v>
      </c>
      <c r="G8" s="25">
        <f t="shared" si="0"/>
        <v>90.476190476190482</v>
      </c>
      <c r="I8" s="10" t="s">
        <v>24</v>
      </c>
      <c r="J8" s="11">
        <f>SUMIF(A4:A200,"MAY",C4:C200)</f>
        <v>110</v>
      </c>
    </row>
    <row r="9" spans="1:10" x14ac:dyDescent="0.35">
      <c r="A9" s="6" t="s">
        <v>4</v>
      </c>
      <c r="B9" s="6">
        <v>28</v>
      </c>
      <c r="C9" s="6">
        <v>12</v>
      </c>
      <c r="D9" s="4" t="s">
        <v>65</v>
      </c>
      <c r="E9" s="6">
        <v>230</v>
      </c>
      <c r="F9" s="24">
        <v>0</v>
      </c>
      <c r="G9" s="25">
        <f t="shared" si="0"/>
        <v>100</v>
      </c>
      <c r="I9" s="10" t="s">
        <v>32</v>
      </c>
      <c r="J9" s="11">
        <f>SUMIF(A4:A200,"JUNE",C4:C200)</f>
        <v>0</v>
      </c>
    </row>
    <row r="10" spans="1:10" x14ac:dyDescent="0.35">
      <c r="A10" s="6" t="s">
        <v>24</v>
      </c>
      <c r="B10" s="6">
        <v>12</v>
      </c>
      <c r="C10" s="6">
        <v>30</v>
      </c>
      <c r="D10" s="4" t="s">
        <v>65</v>
      </c>
      <c r="E10" s="6">
        <v>1500</v>
      </c>
      <c r="F10" s="24">
        <v>800</v>
      </c>
      <c r="G10" s="25">
        <f t="shared" si="0"/>
        <v>46.666666666666664</v>
      </c>
      <c r="I10" s="10" t="s">
        <v>33</v>
      </c>
      <c r="J10" s="11">
        <f>SUMIF(A4:A200,"JULY",C4:C200)</f>
        <v>0</v>
      </c>
    </row>
    <row r="11" spans="1:10" x14ac:dyDescent="0.35">
      <c r="A11" s="6" t="s">
        <v>31</v>
      </c>
      <c r="B11" s="6">
        <v>23</v>
      </c>
      <c r="C11" s="6">
        <v>55</v>
      </c>
      <c r="D11" s="4" t="s">
        <v>65</v>
      </c>
      <c r="E11" s="6">
        <v>2500</v>
      </c>
      <c r="F11" s="24">
        <v>500</v>
      </c>
      <c r="G11" s="25">
        <f t="shared" si="0"/>
        <v>80</v>
      </c>
      <c r="I11" s="10" t="s">
        <v>8</v>
      </c>
      <c r="J11" s="11">
        <f>SUMIF(A4:A200,"AUG",C4:C200)</f>
        <v>0</v>
      </c>
    </row>
    <row r="12" spans="1:10" x14ac:dyDescent="0.35">
      <c r="A12" s="6"/>
      <c r="B12" s="6"/>
      <c r="C12" s="6"/>
      <c r="D12" s="4"/>
      <c r="E12" s="6"/>
      <c r="F12" s="24"/>
      <c r="G12" s="25" t="e">
        <f t="shared" si="0"/>
        <v>#DIV/0!</v>
      </c>
      <c r="I12" s="10" t="s">
        <v>9</v>
      </c>
      <c r="J12" s="11">
        <f>SUMIF(A4:A200,"SEPT",C4:C200)</f>
        <v>0</v>
      </c>
    </row>
    <row r="13" spans="1:10" x14ac:dyDescent="0.35">
      <c r="A13" s="6"/>
      <c r="B13" s="6"/>
      <c r="C13" s="6"/>
      <c r="D13" s="4"/>
      <c r="E13" s="6"/>
      <c r="F13" s="24"/>
      <c r="G13" s="25" t="e">
        <f t="shared" si="0"/>
        <v>#DIV/0!</v>
      </c>
      <c r="I13" s="10" t="s">
        <v>31</v>
      </c>
      <c r="J13" s="11">
        <f>SUMIF(A4:A200,"OCT",C4:C200)</f>
        <v>55</v>
      </c>
    </row>
    <row r="14" spans="1:10" x14ac:dyDescent="0.35">
      <c r="A14" s="6"/>
      <c r="B14" s="6"/>
      <c r="C14" s="6"/>
      <c r="D14" s="4"/>
      <c r="E14" s="6"/>
      <c r="F14" s="24"/>
      <c r="G14" s="25" t="e">
        <f t="shared" si="0"/>
        <v>#DIV/0!</v>
      </c>
      <c r="I14" s="10" t="s">
        <v>10</v>
      </c>
      <c r="J14" s="11">
        <f>SUMIF(A4:A200,"NOV",C4:C200)</f>
        <v>0</v>
      </c>
    </row>
    <row r="15" spans="1:10" x14ac:dyDescent="0.35">
      <c r="A15" s="6"/>
      <c r="B15" s="6"/>
      <c r="C15" s="6"/>
      <c r="D15" s="4"/>
      <c r="E15" s="6"/>
      <c r="F15" s="24"/>
      <c r="G15" s="25" t="e">
        <f t="shared" si="0"/>
        <v>#DIV/0!</v>
      </c>
      <c r="I15" s="12" t="s">
        <v>11</v>
      </c>
      <c r="J15" s="13">
        <f>SUMIF(A4:A200,"DEC",C4:C200)</f>
        <v>0</v>
      </c>
    </row>
    <row r="16" spans="1:10" x14ac:dyDescent="0.35">
      <c r="A16" s="6"/>
      <c r="B16" s="6"/>
      <c r="C16" s="6"/>
      <c r="D16" s="4"/>
      <c r="E16" s="6"/>
      <c r="F16" s="24"/>
      <c r="G16" s="25" t="e">
        <f t="shared" si="0"/>
        <v>#DIV/0!</v>
      </c>
    </row>
    <row r="17" spans="1:7" x14ac:dyDescent="0.35">
      <c r="A17" s="6"/>
      <c r="B17" s="6"/>
      <c r="C17" s="6"/>
      <c r="D17" s="4"/>
      <c r="E17" s="6"/>
      <c r="F17" s="24"/>
      <c r="G17" s="25" t="e">
        <f t="shared" si="0"/>
        <v>#DIV/0!</v>
      </c>
    </row>
    <row r="18" spans="1:7" x14ac:dyDescent="0.35">
      <c r="A18" s="6"/>
      <c r="B18" s="6"/>
      <c r="C18" s="6"/>
      <c r="D18" s="4"/>
      <c r="E18" s="6"/>
      <c r="F18" s="24"/>
      <c r="G18" s="25" t="e">
        <f t="shared" si="0"/>
        <v>#DIV/0!</v>
      </c>
    </row>
    <row r="19" spans="1:7" x14ac:dyDescent="0.35">
      <c r="A19" s="6"/>
      <c r="B19" s="6"/>
      <c r="C19" s="6"/>
      <c r="D19" s="4"/>
      <c r="E19" s="6"/>
      <c r="F19" s="24"/>
      <c r="G19" s="25" t="e">
        <f t="shared" si="0"/>
        <v>#DIV/0!</v>
      </c>
    </row>
    <row r="20" spans="1:7" x14ac:dyDescent="0.35">
      <c r="A20" s="6"/>
      <c r="B20" s="6"/>
      <c r="C20" s="6"/>
      <c r="D20" s="4"/>
      <c r="E20" s="6"/>
      <c r="F20" s="24"/>
      <c r="G20" s="25" t="e">
        <f t="shared" si="0"/>
        <v>#DIV/0!</v>
      </c>
    </row>
    <row r="21" spans="1:7" x14ac:dyDescent="0.35">
      <c r="A21" s="6"/>
      <c r="B21" s="6"/>
      <c r="C21" s="6"/>
      <c r="D21" s="4"/>
      <c r="E21" s="6"/>
      <c r="F21" s="24"/>
      <c r="G21" s="25" t="e">
        <f t="shared" si="0"/>
        <v>#DIV/0!</v>
      </c>
    </row>
    <row r="22" spans="1:7" x14ac:dyDescent="0.35">
      <c r="A22" s="6"/>
      <c r="B22" s="6"/>
      <c r="C22" s="6"/>
      <c r="D22" s="4"/>
      <c r="E22" s="6"/>
      <c r="F22" s="24"/>
      <c r="G22" s="25" t="e">
        <f t="shared" si="0"/>
        <v>#DIV/0!</v>
      </c>
    </row>
    <row r="23" spans="1:7" x14ac:dyDescent="0.35">
      <c r="A23" s="6"/>
      <c r="B23" s="6"/>
      <c r="C23" s="6"/>
      <c r="D23" s="4"/>
      <c r="E23" s="6"/>
      <c r="F23" s="24"/>
      <c r="G23" s="25" t="e">
        <f t="shared" si="0"/>
        <v>#DIV/0!</v>
      </c>
    </row>
    <row r="24" spans="1:7" x14ac:dyDescent="0.35">
      <c r="A24" s="6"/>
      <c r="B24" s="6"/>
      <c r="C24" s="6"/>
      <c r="D24" s="4"/>
      <c r="E24" s="6"/>
      <c r="F24" s="24"/>
      <c r="G24" s="25" t="e">
        <f t="shared" si="0"/>
        <v>#DIV/0!</v>
      </c>
    </row>
    <row r="25" spans="1:7" x14ac:dyDescent="0.35">
      <c r="A25" s="6"/>
      <c r="B25" s="6"/>
      <c r="C25" s="6"/>
      <c r="D25" s="4"/>
      <c r="E25" s="6"/>
      <c r="F25" s="24"/>
      <c r="G25" s="25" t="e">
        <f t="shared" si="0"/>
        <v>#DIV/0!</v>
      </c>
    </row>
    <row r="26" spans="1:7" x14ac:dyDescent="0.35">
      <c r="A26" s="6"/>
      <c r="B26" s="6"/>
      <c r="C26" s="6"/>
      <c r="D26" s="4"/>
      <c r="E26" s="6"/>
      <c r="F26" s="24"/>
      <c r="G26" s="25" t="e">
        <f t="shared" si="0"/>
        <v>#DIV/0!</v>
      </c>
    </row>
    <row r="27" spans="1:7" x14ac:dyDescent="0.35">
      <c r="A27" s="6"/>
      <c r="B27" s="6"/>
      <c r="C27" s="6"/>
      <c r="D27" s="4"/>
      <c r="E27" s="6"/>
      <c r="F27" s="24"/>
      <c r="G27" s="25" t="e">
        <f t="shared" si="0"/>
        <v>#DIV/0!</v>
      </c>
    </row>
    <row r="28" spans="1:7" x14ac:dyDescent="0.35">
      <c r="A28" s="6"/>
      <c r="B28" s="6"/>
      <c r="C28" s="6"/>
      <c r="D28" s="4"/>
      <c r="E28" s="6"/>
      <c r="F28" s="24"/>
      <c r="G28" s="25" t="e">
        <f t="shared" si="0"/>
        <v>#DIV/0!</v>
      </c>
    </row>
    <row r="29" spans="1:7" x14ac:dyDescent="0.35">
      <c r="A29" s="6"/>
      <c r="B29" s="6"/>
      <c r="C29" s="6"/>
      <c r="D29" s="4"/>
      <c r="E29" s="6"/>
      <c r="F29" s="24"/>
      <c r="G29" s="25" t="e">
        <f t="shared" si="0"/>
        <v>#DIV/0!</v>
      </c>
    </row>
    <row r="30" spans="1:7" x14ac:dyDescent="0.35">
      <c r="A30" s="6"/>
      <c r="B30" s="6"/>
      <c r="C30" s="6"/>
      <c r="D30" s="4"/>
      <c r="E30" s="6"/>
      <c r="F30" s="24"/>
      <c r="G30" s="25" t="e">
        <f t="shared" si="0"/>
        <v>#DIV/0!</v>
      </c>
    </row>
    <row r="31" spans="1:7" x14ac:dyDescent="0.35">
      <c r="A31" s="6"/>
      <c r="B31" s="6"/>
      <c r="C31" s="6"/>
      <c r="D31" s="4"/>
      <c r="E31" s="6"/>
      <c r="F31" s="24"/>
      <c r="G31" s="25" t="e">
        <f t="shared" si="0"/>
        <v>#DIV/0!</v>
      </c>
    </row>
    <row r="32" spans="1:7" x14ac:dyDescent="0.35">
      <c r="A32" s="6"/>
      <c r="B32" s="6"/>
      <c r="C32" s="6"/>
      <c r="D32" s="4"/>
      <c r="E32" s="6"/>
      <c r="F32" s="24"/>
      <c r="G32" s="25" t="e">
        <f t="shared" si="0"/>
        <v>#DIV/0!</v>
      </c>
    </row>
    <row r="33" spans="1:7" x14ac:dyDescent="0.35">
      <c r="A33" s="6"/>
      <c r="B33" s="6"/>
      <c r="C33" s="6"/>
      <c r="D33" s="4"/>
      <c r="E33" s="6"/>
      <c r="F33" s="24"/>
      <c r="G33" s="25" t="e">
        <f t="shared" si="0"/>
        <v>#DIV/0!</v>
      </c>
    </row>
    <row r="34" spans="1:7" x14ac:dyDescent="0.35">
      <c r="A34" s="6"/>
      <c r="B34" s="6"/>
      <c r="C34" s="6"/>
      <c r="D34" s="4"/>
      <c r="E34" s="6"/>
      <c r="F34" s="24"/>
      <c r="G34" s="25" t="e">
        <f t="shared" si="0"/>
        <v>#DIV/0!</v>
      </c>
    </row>
    <row r="35" spans="1:7" x14ac:dyDescent="0.35">
      <c r="A35" s="6"/>
      <c r="B35" s="6"/>
      <c r="C35" s="6"/>
      <c r="D35" s="4"/>
      <c r="E35" s="6"/>
      <c r="F35" s="24"/>
      <c r="G35" s="25" t="e">
        <f t="shared" si="0"/>
        <v>#DIV/0!</v>
      </c>
    </row>
    <row r="36" spans="1:7" x14ac:dyDescent="0.35">
      <c r="A36" s="6"/>
      <c r="B36" s="6"/>
      <c r="C36" s="6"/>
      <c r="D36" s="4"/>
      <c r="E36" s="6"/>
      <c r="F36" s="24"/>
      <c r="G36" s="25" t="e">
        <f t="shared" si="0"/>
        <v>#DIV/0!</v>
      </c>
    </row>
    <row r="37" spans="1:7" x14ac:dyDescent="0.35">
      <c r="A37" s="6"/>
      <c r="B37" s="6"/>
      <c r="C37" s="6"/>
      <c r="D37" s="4"/>
      <c r="E37" s="6"/>
      <c r="F37" s="24"/>
      <c r="G37" s="25" t="e">
        <f t="shared" si="0"/>
        <v>#DIV/0!</v>
      </c>
    </row>
    <row r="38" spans="1:7" x14ac:dyDescent="0.35">
      <c r="A38" s="6"/>
      <c r="B38" s="6"/>
      <c r="C38" s="6"/>
      <c r="D38" s="4"/>
      <c r="E38" s="6"/>
      <c r="F38" s="24"/>
      <c r="G38" s="25" t="e">
        <f t="shared" si="0"/>
        <v>#DIV/0!</v>
      </c>
    </row>
    <row r="39" spans="1:7" x14ac:dyDescent="0.35">
      <c r="A39" s="6"/>
      <c r="B39" s="6"/>
      <c r="C39" s="6"/>
      <c r="D39" s="4"/>
      <c r="E39" s="6"/>
      <c r="F39" s="24"/>
      <c r="G39" s="25" t="e">
        <f t="shared" si="0"/>
        <v>#DIV/0!</v>
      </c>
    </row>
    <row r="40" spans="1:7" x14ac:dyDescent="0.35">
      <c r="A40" s="6"/>
      <c r="B40" s="6"/>
      <c r="C40" s="6"/>
      <c r="D40" s="4"/>
      <c r="E40" s="6"/>
      <c r="F40" s="24"/>
      <c r="G40" s="25" t="e">
        <f t="shared" si="0"/>
        <v>#DIV/0!</v>
      </c>
    </row>
    <row r="41" spans="1:7" x14ac:dyDescent="0.35">
      <c r="A41" s="6"/>
      <c r="B41" s="6"/>
      <c r="C41" s="6"/>
      <c r="D41" s="4"/>
      <c r="E41" s="6"/>
      <c r="F41" s="24"/>
      <c r="G41" s="25" t="e">
        <f t="shared" si="0"/>
        <v>#DIV/0!</v>
      </c>
    </row>
    <row r="42" spans="1:7" x14ac:dyDescent="0.35">
      <c r="A42" s="6"/>
      <c r="B42" s="6"/>
      <c r="C42" s="6"/>
      <c r="D42" s="4"/>
      <c r="E42" s="6"/>
      <c r="F42" s="24"/>
      <c r="G42" s="25" t="e">
        <f t="shared" si="0"/>
        <v>#DIV/0!</v>
      </c>
    </row>
    <row r="43" spans="1:7" x14ac:dyDescent="0.35">
      <c r="A43" s="6"/>
      <c r="B43" s="6"/>
      <c r="C43" s="6"/>
      <c r="D43" s="4"/>
      <c r="E43" s="6"/>
      <c r="F43" s="24"/>
      <c r="G43" s="25" t="e">
        <f t="shared" si="0"/>
        <v>#DIV/0!</v>
      </c>
    </row>
    <row r="44" spans="1:7" x14ac:dyDescent="0.35">
      <c r="A44" s="6"/>
      <c r="B44" s="6"/>
      <c r="C44" s="6"/>
      <c r="D44" s="4"/>
      <c r="E44" s="6"/>
      <c r="F44" s="24"/>
      <c r="G44" s="25" t="e">
        <f t="shared" si="0"/>
        <v>#DIV/0!</v>
      </c>
    </row>
    <row r="45" spans="1:7" x14ac:dyDescent="0.35">
      <c r="A45" s="6"/>
      <c r="B45" s="6"/>
      <c r="C45" s="6"/>
      <c r="D45" s="4"/>
      <c r="E45" s="6"/>
      <c r="F45" s="24"/>
      <c r="G45" s="25" t="e">
        <f t="shared" si="0"/>
        <v>#DIV/0!</v>
      </c>
    </row>
    <row r="46" spans="1:7" x14ac:dyDescent="0.35">
      <c r="A46" s="6"/>
      <c r="B46" s="6"/>
      <c r="C46" s="6"/>
      <c r="D46" s="4"/>
      <c r="E46" s="6"/>
      <c r="F46" s="24"/>
      <c r="G46" s="25" t="e">
        <f t="shared" si="0"/>
        <v>#DIV/0!</v>
      </c>
    </row>
    <row r="47" spans="1:7" x14ac:dyDescent="0.35">
      <c r="A47" s="6"/>
      <c r="B47" s="6"/>
      <c r="C47" s="6"/>
      <c r="D47" s="4"/>
      <c r="E47" s="6"/>
      <c r="F47" s="24"/>
      <c r="G47" s="25" t="e">
        <f t="shared" si="0"/>
        <v>#DIV/0!</v>
      </c>
    </row>
    <row r="48" spans="1:7" x14ac:dyDescent="0.35">
      <c r="A48" s="6"/>
      <c r="B48" s="6"/>
      <c r="C48" s="6"/>
      <c r="D48" s="4"/>
      <c r="E48" s="6"/>
      <c r="F48" s="24"/>
      <c r="G48" s="25" t="e">
        <f t="shared" si="0"/>
        <v>#DIV/0!</v>
      </c>
    </row>
    <row r="49" spans="1:7" x14ac:dyDescent="0.35">
      <c r="A49" s="6"/>
      <c r="B49" s="6"/>
      <c r="C49" s="6"/>
      <c r="D49" s="4"/>
      <c r="E49" s="6"/>
      <c r="F49" s="24"/>
      <c r="G49" s="25" t="e">
        <f t="shared" si="0"/>
        <v>#DIV/0!</v>
      </c>
    </row>
    <row r="50" spans="1:7" x14ac:dyDescent="0.35">
      <c r="A50" s="6"/>
      <c r="B50" s="6"/>
      <c r="C50" s="6"/>
      <c r="D50" s="4"/>
      <c r="E50" s="6"/>
      <c r="F50" s="24"/>
      <c r="G50" s="25" t="e">
        <f t="shared" si="0"/>
        <v>#DIV/0!</v>
      </c>
    </row>
    <row r="51" spans="1:7" x14ac:dyDescent="0.35">
      <c r="A51" s="6"/>
      <c r="B51" s="6"/>
      <c r="C51" s="6"/>
      <c r="D51" s="4"/>
      <c r="E51" s="6"/>
      <c r="F51" s="24"/>
      <c r="G51" s="25" t="e">
        <f t="shared" si="0"/>
        <v>#DIV/0!</v>
      </c>
    </row>
    <row r="52" spans="1:7" x14ac:dyDescent="0.35">
      <c r="A52" s="6"/>
      <c r="B52" s="6"/>
      <c r="C52" s="6"/>
      <c r="D52" s="4"/>
      <c r="E52" s="6"/>
      <c r="F52" s="24"/>
      <c r="G52" s="25" t="e">
        <f t="shared" si="0"/>
        <v>#DIV/0!</v>
      </c>
    </row>
    <row r="53" spans="1:7" x14ac:dyDescent="0.35">
      <c r="A53" s="6"/>
      <c r="B53" s="6"/>
      <c r="C53" s="6"/>
      <c r="D53" s="4"/>
      <c r="E53" s="6"/>
      <c r="F53" s="24"/>
      <c r="G53" s="25" t="e">
        <f t="shared" si="0"/>
        <v>#DIV/0!</v>
      </c>
    </row>
    <row r="54" spans="1:7" x14ac:dyDescent="0.35">
      <c r="A54" s="6"/>
      <c r="B54" s="6"/>
      <c r="C54" s="6"/>
      <c r="D54" s="4"/>
      <c r="E54" s="6"/>
      <c r="F54" s="24"/>
      <c r="G54" s="25" t="e">
        <f t="shared" si="0"/>
        <v>#DIV/0!</v>
      </c>
    </row>
    <row r="55" spans="1:7" x14ac:dyDescent="0.35">
      <c r="A55" s="6"/>
      <c r="B55" s="6"/>
      <c r="C55" s="6"/>
      <c r="D55" s="4"/>
      <c r="E55" s="6"/>
      <c r="F55" s="24"/>
      <c r="G55" s="25" t="e">
        <f t="shared" si="0"/>
        <v>#DIV/0!</v>
      </c>
    </row>
    <row r="56" spans="1:7" x14ac:dyDescent="0.35">
      <c r="A56" s="6"/>
      <c r="B56" s="6"/>
      <c r="C56" s="6"/>
      <c r="D56" s="4"/>
      <c r="E56" s="6"/>
      <c r="F56" s="24"/>
      <c r="G56" s="25" t="e">
        <f t="shared" si="0"/>
        <v>#DIV/0!</v>
      </c>
    </row>
    <row r="57" spans="1:7" x14ac:dyDescent="0.35">
      <c r="A57" s="6"/>
      <c r="B57" s="6"/>
      <c r="C57" s="6"/>
      <c r="D57" s="4"/>
      <c r="E57" s="6"/>
      <c r="F57" s="24"/>
      <c r="G57" s="25" t="e">
        <f t="shared" si="0"/>
        <v>#DIV/0!</v>
      </c>
    </row>
    <row r="58" spans="1:7" x14ac:dyDescent="0.35">
      <c r="A58" s="6"/>
      <c r="B58" s="6"/>
      <c r="C58" s="6"/>
      <c r="D58" s="4"/>
      <c r="E58" s="6"/>
      <c r="F58" s="24"/>
      <c r="G58" s="25" t="e">
        <f t="shared" si="0"/>
        <v>#DIV/0!</v>
      </c>
    </row>
    <row r="59" spans="1:7" x14ac:dyDescent="0.35">
      <c r="A59" s="6"/>
      <c r="B59" s="6"/>
      <c r="C59" s="6"/>
      <c r="D59" s="4"/>
      <c r="E59" s="6"/>
      <c r="F59" s="24"/>
      <c r="G59" s="25" t="e">
        <f t="shared" si="0"/>
        <v>#DIV/0!</v>
      </c>
    </row>
    <row r="60" spans="1:7" x14ac:dyDescent="0.35">
      <c r="A60" s="6"/>
      <c r="B60" s="6"/>
      <c r="C60" s="6"/>
      <c r="D60" s="4"/>
      <c r="E60" s="6"/>
      <c r="F60" s="24"/>
      <c r="G60" s="25" t="e">
        <f t="shared" si="0"/>
        <v>#DIV/0!</v>
      </c>
    </row>
    <row r="61" spans="1:7" x14ac:dyDescent="0.35">
      <c r="A61" s="6"/>
      <c r="B61" s="6"/>
      <c r="C61" s="6"/>
      <c r="D61" s="4"/>
      <c r="E61" s="6"/>
      <c r="F61" s="24"/>
      <c r="G61" s="25" t="e">
        <f t="shared" si="0"/>
        <v>#DIV/0!</v>
      </c>
    </row>
    <row r="62" spans="1:7" x14ac:dyDescent="0.35">
      <c r="A62" s="6"/>
      <c r="B62" s="6"/>
      <c r="C62" s="6"/>
      <c r="D62" s="4"/>
      <c r="E62" s="6"/>
      <c r="F62" s="24"/>
      <c r="G62" s="25" t="e">
        <f t="shared" si="0"/>
        <v>#DIV/0!</v>
      </c>
    </row>
    <row r="63" spans="1:7" x14ac:dyDescent="0.35">
      <c r="A63" s="6"/>
      <c r="B63" s="6"/>
      <c r="C63" s="6"/>
      <c r="D63" s="4"/>
      <c r="E63" s="6"/>
      <c r="F63" s="24"/>
      <c r="G63" s="25" t="e">
        <f t="shared" si="0"/>
        <v>#DIV/0!</v>
      </c>
    </row>
    <row r="64" spans="1:7" x14ac:dyDescent="0.35">
      <c r="A64" s="6"/>
      <c r="B64" s="6"/>
      <c r="C64" s="6"/>
      <c r="D64" s="4"/>
      <c r="E64" s="6"/>
      <c r="F64" s="24"/>
      <c r="G64" s="25" t="e">
        <f t="shared" si="0"/>
        <v>#DIV/0!</v>
      </c>
    </row>
    <row r="65" spans="1:7" x14ac:dyDescent="0.35">
      <c r="A65" s="6"/>
      <c r="B65" s="6"/>
      <c r="C65" s="6"/>
      <c r="D65" s="4"/>
      <c r="E65" s="6"/>
      <c r="F65" s="24"/>
      <c r="G65" s="25" t="e">
        <f t="shared" si="0"/>
        <v>#DIV/0!</v>
      </c>
    </row>
    <row r="66" spans="1:7" x14ac:dyDescent="0.35">
      <c r="A66" s="6"/>
      <c r="B66" s="6"/>
      <c r="C66" s="6"/>
      <c r="D66" s="4"/>
      <c r="E66" s="6"/>
      <c r="F66" s="24"/>
      <c r="G66" s="25" t="e">
        <f t="shared" si="0"/>
        <v>#DIV/0!</v>
      </c>
    </row>
    <row r="67" spans="1:7" x14ac:dyDescent="0.35">
      <c r="A67" s="6"/>
      <c r="B67" s="6"/>
      <c r="C67" s="6"/>
      <c r="D67" s="4"/>
      <c r="E67" s="6"/>
      <c r="F67" s="24"/>
      <c r="G67" s="25" t="e">
        <f t="shared" si="0"/>
        <v>#DIV/0!</v>
      </c>
    </row>
    <row r="68" spans="1:7" x14ac:dyDescent="0.35">
      <c r="A68" s="6"/>
      <c r="B68" s="6"/>
      <c r="C68" s="6"/>
      <c r="D68" s="4"/>
      <c r="E68" s="6"/>
      <c r="F68" s="24"/>
      <c r="G68" s="25" t="e">
        <f t="shared" si="0"/>
        <v>#DIV/0!</v>
      </c>
    </row>
    <row r="69" spans="1:7" x14ac:dyDescent="0.35">
      <c r="A69" s="6"/>
      <c r="B69" s="6"/>
      <c r="C69" s="6"/>
      <c r="D69" s="4"/>
      <c r="E69" s="6"/>
      <c r="F69" s="24"/>
      <c r="G69" s="25" t="e">
        <f t="shared" ref="G69:G129" si="1">(100*(E69-F69))/E69</f>
        <v>#DIV/0!</v>
      </c>
    </row>
    <row r="70" spans="1:7" x14ac:dyDescent="0.35">
      <c r="A70" s="6"/>
      <c r="B70" s="6"/>
      <c r="C70" s="6"/>
      <c r="D70" s="4"/>
      <c r="E70" s="6"/>
      <c r="F70" s="24"/>
      <c r="G70" s="25" t="e">
        <f t="shared" si="1"/>
        <v>#DIV/0!</v>
      </c>
    </row>
    <row r="71" spans="1:7" x14ac:dyDescent="0.35">
      <c r="A71" s="6"/>
      <c r="B71" s="6"/>
      <c r="C71" s="6"/>
      <c r="D71" s="4"/>
      <c r="E71" s="6"/>
      <c r="F71" s="24"/>
      <c r="G71" s="25" t="e">
        <f t="shared" si="1"/>
        <v>#DIV/0!</v>
      </c>
    </row>
    <row r="72" spans="1:7" x14ac:dyDescent="0.35">
      <c r="A72" s="6"/>
      <c r="B72" s="6"/>
      <c r="C72" s="6"/>
      <c r="D72" s="4"/>
      <c r="E72" s="6"/>
      <c r="F72" s="24"/>
      <c r="G72" s="25" t="e">
        <f t="shared" si="1"/>
        <v>#DIV/0!</v>
      </c>
    </row>
    <row r="73" spans="1:7" x14ac:dyDescent="0.35">
      <c r="A73" s="6"/>
      <c r="B73" s="6"/>
      <c r="C73" s="6"/>
      <c r="D73" s="4"/>
      <c r="E73" s="6"/>
      <c r="F73" s="24"/>
      <c r="G73" s="25" t="e">
        <f t="shared" si="1"/>
        <v>#DIV/0!</v>
      </c>
    </row>
    <row r="74" spans="1:7" x14ac:dyDescent="0.35">
      <c r="A74" s="6"/>
      <c r="B74" s="6"/>
      <c r="C74" s="6"/>
      <c r="D74" s="4"/>
      <c r="E74" s="6"/>
      <c r="F74" s="24"/>
      <c r="G74" s="25" t="e">
        <f t="shared" si="1"/>
        <v>#DIV/0!</v>
      </c>
    </row>
    <row r="75" spans="1:7" x14ac:dyDescent="0.35">
      <c r="A75" s="6"/>
      <c r="B75" s="6"/>
      <c r="C75" s="6"/>
      <c r="D75" s="4"/>
      <c r="E75" s="6"/>
      <c r="F75" s="24"/>
      <c r="G75" s="25" t="e">
        <f t="shared" si="1"/>
        <v>#DIV/0!</v>
      </c>
    </row>
    <row r="76" spans="1:7" x14ac:dyDescent="0.35">
      <c r="A76" s="6"/>
      <c r="B76" s="6"/>
      <c r="C76" s="6"/>
      <c r="D76" s="4"/>
      <c r="E76" s="6"/>
      <c r="F76" s="24"/>
      <c r="G76" s="25" t="e">
        <f t="shared" si="1"/>
        <v>#DIV/0!</v>
      </c>
    </row>
    <row r="77" spans="1:7" x14ac:dyDescent="0.35">
      <c r="A77" s="6"/>
      <c r="B77" s="6"/>
      <c r="C77" s="6"/>
      <c r="D77" s="4"/>
      <c r="E77" s="6"/>
      <c r="F77" s="24"/>
      <c r="G77" s="25" t="e">
        <f t="shared" si="1"/>
        <v>#DIV/0!</v>
      </c>
    </row>
    <row r="78" spans="1:7" x14ac:dyDescent="0.35">
      <c r="A78" s="6"/>
      <c r="B78" s="6"/>
      <c r="C78" s="6"/>
      <c r="D78" s="4"/>
      <c r="E78" s="6"/>
      <c r="F78" s="24"/>
      <c r="G78" s="25" t="e">
        <f t="shared" si="1"/>
        <v>#DIV/0!</v>
      </c>
    </row>
    <row r="79" spans="1:7" x14ac:dyDescent="0.35">
      <c r="A79" s="6"/>
      <c r="B79" s="6"/>
      <c r="C79" s="6"/>
      <c r="D79" s="4"/>
      <c r="E79" s="6"/>
      <c r="F79" s="24"/>
      <c r="G79" s="25" t="e">
        <f t="shared" si="1"/>
        <v>#DIV/0!</v>
      </c>
    </row>
    <row r="80" spans="1:7" x14ac:dyDescent="0.35">
      <c r="A80" s="6"/>
      <c r="B80" s="6"/>
      <c r="C80" s="6"/>
      <c r="D80" s="4"/>
      <c r="E80" s="6"/>
      <c r="F80" s="24"/>
      <c r="G80" s="25" t="e">
        <f t="shared" si="1"/>
        <v>#DIV/0!</v>
      </c>
    </row>
    <row r="81" spans="1:7" x14ac:dyDescent="0.35">
      <c r="A81" s="6"/>
      <c r="B81" s="6"/>
      <c r="C81" s="6"/>
      <c r="D81" s="4"/>
      <c r="E81" s="6"/>
      <c r="F81" s="24"/>
      <c r="G81" s="25" t="e">
        <f t="shared" si="1"/>
        <v>#DIV/0!</v>
      </c>
    </row>
    <row r="82" spans="1:7" x14ac:dyDescent="0.35">
      <c r="A82" s="6"/>
      <c r="B82" s="6"/>
      <c r="C82" s="6"/>
      <c r="D82" s="4"/>
      <c r="E82" s="6"/>
      <c r="F82" s="24"/>
      <c r="G82" s="25" t="e">
        <f t="shared" si="1"/>
        <v>#DIV/0!</v>
      </c>
    </row>
    <row r="83" spans="1:7" x14ac:dyDescent="0.35">
      <c r="A83" s="6"/>
      <c r="B83" s="6"/>
      <c r="C83" s="6"/>
      <c r="D83" s="4"/>
      <c r="E83" s="6"/>
      <c r="F83" s="24"/>
      <c r="G83" s="25" t="e">
        <f t="shared" si="1"/>
        <v>#DIV/0!</v>
      </c>
    </row>
    <row r="84" spans="1:7" x14ac:dyDescent="0.35">
      <c r="A84" s="6"/>
      <c r="B84" s="6"/>
      <c r="C84" s="6"/>
      <c r="D84" s="4"/>
      <c r="E84" s="6"/>
      <c r="F84" s="24"/>
      <c r="G84" s="25" t="e">
        <f t="shared" si="1"/>
        <v>#DIV/0!</v>
      </c>
    </row>
    <row r="85" spans="1:7" x14ac:dyDescent="0.35">
      <c r="A85" s="6"/>
      <c r="B85" s="6"/>
      <c r="C85" s="6"/>
      <c r="D85" s="4"/>
      <c r="E85" s="6"/>
      <c r="F85" s="24"/>
      <c r="G85" s="25" t="e">
        <f t="shared" si="1"/>
        <v>#DIV/0!</v>
      </c>
    </row>
    <row r="86" spans="1:7" x14ac:dyDescent="0.35">
      <c r="A86" s="6"/>
      <c r="B86" s="6"/>
      <c r="C86" s="6"/>
      <c r="D86" s="4"/>
      <c r="E86" s="6"/>
      <c r="F86" s="24"/>
      <c r="G86" s="25" t="e">
        <f t="shared" si="1"/>
        <v>#DIV/0!</v>
      </c>
    </row>
    <row r="87" spans="1:7" x14ac:dyDescent="0.35">
      <c r="A87" s="6"/>
      <c r="B87" s="6"/>
      <c r="C87" s="6"/>
      <c r="D87" s="4"/>
      <c r="E87" s="6"/>
      <c r="F87" s="24"/>
      <c r="G87" s="25" t="e">
        <f t="shared" si="1"/>
        <v>#DIV/0!</v>
      </c>
    </row>
    <row r="88" spans="1:7" x14ac:dyDescent="0.35">
      <c r="A88" s="6"/>
      <c r="B88" s="6"/>
      <c r="C88" s="6"/>
      <c r="D88" s="4"/>
      <c r="E88" s="6"/>
      <c r="F88" s="24"/>
      <c r="G88" s="25" t="e">
        <f t="shared" si="1"/>
        <v>#DIV/0!</v>
      </c>
    </row>
    <row r="89" spans="1:7" x14ac:dyDescent="0.35">
      <c r="A89" s="6"/>
      <c r="B89" s="6"/>
      <c r="C89" s="6"/>
      <c r="D89" s="4"/>
      <c r="E89" s="6"/>
      <c r="F89" s="24"/>
      <c r="G89" s="25" t="e">
        <f t="shared" si="1"/>
        <v>#DIV/0!</v>
      </c>
    </row>
    <row r="90" spans="1:7" x14ac:dyDescent="0.35">
      <c r="A90" s="6"/>
      <c r="B90" s="6"/>
      <c r="C90" s="6"/>
      <c r="D90" s="4"/>
      <c r="E90" s="6"/>
      <c r="F90" s="24"/>
      <c r="G90" s="25" t="e">
        <f t="shared" si="1"/>
        <v>#DIV/0!</v>
      </c>
    </row>
    <row r="91" spans="1:7" x14ac:dyDescent="0.35">
      <c r="A91" s="6"/>
      <c r="B91" s="6"/>
      <c r="C91" s="6"/>
      <c r="D91" s="4"/>
      <c r="E91" s="6"/>
      <c r="F91" s="24"/>
      <c r="G91" s="25" t="e">
        <f t="shared" si="1"/>
        <v>#DIV/0!</v>
      </c>
    </row>
    <row r="92" spans="1:7" x14ac:dyDescent="0.35">
      <c r="A92" s="6"/>
      <c r="B92" s="6"/>
      <c r="C92" s="6"/>
      <c r="D92" s="4"/>
      <c r="E92" s="6"/>
      <c r="F92" s="24"/>
      <c r="G92" s="25" t="e">
        <f t="shared" si="1"/>
        <v>#DIV/0!</v>
      </c>
    </row>
    <row r="93" spans="1:7" x14ac:dyDescent="0.35">
      <c r="A93" s="6"/>
      <c r="B93" s="6"/>
      <c r="C93" s="6"/>
      <c r="D93" s="4"/>
      <c r="E93" s="6"/>
      <c r="F93" s="24"/>
      <c r="G93" s="25" t="e">
        <f t="shared" si="1"/>
        <v>#DIV/0!</v>
      </c>
    </row>
    <row r="94" spans="1:7" x14ac:dyDescent="0.35">
      <c r="A94" s="6"/>
      <c r="B94" s="6"/>
      <c r="C94" s="6"/>
      <c r="D94" s="4"/>
      <c r="E94" s="6"/>
      <c r="F94" s="24"/>
      <c r="G94" s="25" t="e">
        <f t="shared" si="1"/>
        <v>#DIV/0!</v>
      </c>
    </row>
    <row r="95" spans="1:7" x14ac:dyDescent="0.35">
      <c r="A95" s="6"/>
      <c r="B95" s="6"/>
      <c r="C95" s="6"/>
      <c r="D95" s="4"/>
      <c r="E95" s="6"/>
      <c r="F95" s="24"/>
      <c r="G95" s="25" t="e">
        <f t="shared" si="1"/>
        <v>#DIV/0!</v>
      </c>
    </row>
    <row r="96" spans="1:7" x14ac:dyDescent="0.35">
      <c r="A96" s="6"/>
      <c r="B96" s="6"/>
      <c r="C96" s="6"/>
      <c r="D96" s="4"/>
      <c r="E96" s="6"/>
      <c r="F96" s="24"/>
      <c r="G96" s="25" t="e">
        <f t="shared" si="1"/>
        <v>#DIV/0!</v>
      </c>
    </row>
    <row r="97" spans="1:7" x14ac:dyDescent="0.35">
      <c r="A97" s="6"/>
      <c r="B97" s="6"/>
      <c r="C97" s="6"/>
      <c r="D97" s="4"/>
      <c r="E97" s="6"/>
      <c r="F97" s="24"/>
      <c r="G97" s="25" t="e">
        <f t="shared" si="1"/>
        <v>#DIV/0!</v>
      </c>
    </row>
    <row r="98" spans="1:7" x14ac:dyDescent="0.35">
      <c r="A98" s="6"/>
      <c r="B98" s="6"/>
      <c r="C98" s="6"/>
      <c r="D98" s="4"/>
      <c r="E98" s="6"/>
      <c r="F98" s="24"/>
      <c r="G98" s="25" t="e">
        <f t="shared" si="1"/>
        <v>#DIV/0!</v>
      </c>
    </row>
    <row r="99" spans="1:7" x14ac:dyDescent="0.35">
      <c r="A99" s="6"/>
      <c r="B99" s="6"/>
      <c r="C99" s="6"/>
      <c r="D99" s="4"/>
      <c r="E99" s="6"/>
      <c r="F99" s="24"/>
      <c r="G99" s="25" t="e">
        <f t="shared" si="1"/>
        <v>#DIV/0!</v>
      </c>
    </row>
    <row r="100" spans="1:7" x14ac:dyDescent="0.35">
      <c r="A100" s="6"/>
      <c r="B100" s="6"/>
      <c r="C100" s="6"/>
      <c r="D100" s="4"/>
      <c r="E100" s="6"/>
      <c r="F100" s="24"/>
      <c r="G100" s="25" t="e">
        <f t="shared" si="1"/>
        <v>#DIV/0!</v>
      </c>
    </row>
    <row r="101" spans="1:7" x14ac:dyDescent="0.35">
      <c r="A101" s="6"/>
      <c r="B101" s="6"/>
      <c r="C101" s="6"/>
      <c r="D101" s="4"/>
      <c r="E101" s="6"/>
      <c r="F101" s="24"/>
      <c r="G101" s="25" t="e">
        <f t="shared" si="1"/>
        <v>#DIV/0!</v>
      </c>
    </row>
    <row r="102" spans="1:7" x14ac:dyDescent="0.35">
      <c r="A102" s="6"/>
      <c r="B102" s="6"/>
      <c r="C102" s="6"/>
      <c r="D102" s="4"/>
      <c r="E102" s="6"/>
      <c r="F102" s="24"/>
      <c r="G102" s="25" t="e">
        <f t="shared" si="1"/>
        <v>#DIV/0!</v>
      </c>
    </row>
    <row r="103" spans="1:7" x14ac:dyDescent="0.35">
      <c r="A103" s="6"/>
      <c r="B103" s="6"/>
      <c r="C103" s="6"/>
      <c r="D103" s="4"/>
      <c r="E103" s="6"/>
      <c r="F103" s="24"/>
      <c r="G103" s="25" t="e">
        <f t="shared" si="1"/>
        <v>#DIV/0!</v>
      </c>
    </row>
    <row r="104" spans="1:7" x14ac:dyDescent="0.35">
      <c r="A104" s="6"/>
      <c r="B104" s="6"/>
      <c r="C104" s="6"/>
      <c r="D104" s="4"/>
      <c r="E104" s="6"/>
      <c r="F104" s="24"/>
      <c r="G104" s="25" t="e">
        <f t="shared" si="1"/>
        <v>#DIV/0!</v>
      </c>
    </row>
    <row r="105" spans="1:7" x14ac:dyDescent="0.35">
      <c r="A105" s="6"/>
      <c r="B105" s="6"/>
      <c r="C105" s="6"/>
      <c r="D105" s="4"/>
      <c r="E105" s="6"/>
      <c r="F105" s="24"/>
      <c r="G105" s="25" t="e">
        <f t="shared" si="1"/>
        <v>#DIV/0!</v>
      </c>
    </row>
    <row r="106" spans="1:7" x14ac:dyDescent="0.35">
      <c r="A106" s="6"/>
      <c r="B106" s="6"/>
      <c r="C106" s="6"/>
      <c r="D106" s="4"/>
      <c r="E106" s="6"/>
      <c r="F106" s="24"/>
      <c r="G106" s="25" t="e">
        <f t="shared" si="1"/>
        <v>#DIV/0!</v>
      </c>
    </row>
    <row r="107" spans="1:7" x14ac:dyDescent="0.35">
      <c r="A107" s="6"/>
      <c r="B107" s="6"/>
      <c r="C107" s="6"/>
      <c r="D107" s="4"/>
      <c r="E107" s="6"/>
      <c r="F107" s="24"/>
      <c r="G107" s="25" t="e">
        <f t="shared" si="1"/>
        <v>#DIV/0!</v>
      </c>
    </row>
    <row r="108" spans="1:7" x14ac:dyDescent="0.35">
      <c r="A108" s="6"/>
      <c r="B108" s="6"/>
      <c r="C108" s="6"/>
      <c r="D108" s="4"/>
      <c r="E108" s="6"/>
      <c r="F108" s="24"/>
      <c r="G108" s="25" t="e">
        <f t="shared" si="1"/>
        <v>#DIV/0!</v>
      </c>
    </row>
    <row r="109" spans="1:7" x14ac:dyDescent="0.35">
      <c r="A109" s="6"/>
      <c r="B109" s="6"/>
      <c r="C109" s="6"/>
      <c r="D109" s="4"/>
      <c r="E109" s="6"/>
      <c r="F109" s="24"/>
      <c r="G109" s="25" t="e">
        <f t="shared" si="1"/>
        <v>#DIV/0!</v>
      </c>
    </row>
    <row r="110" spans="1:7" x14ac:dyDescent="0.35">
      <c r="A110" s="6"/>
      <c r="B110" s="6"/>
      <c r="C110" s="6"/>
      <c r="D110" s="4"/>
      <c r="E110" s="6"/>
      <c r="F110" s="24"/>
      <c r="G110" s="25" t="e">
        <f t="shared" si="1"/>
        <v>#DIV/0!</v>
      </c>
    </row>
    <row r="111" spans="1:7" x14ac:dyDescent="0.35">
      <c r="A111" s="6"/>
      <c r="B111" s="6"/>
      <c r="C111" s="6"/>
      <c r="D111" s="4"/>
      <c r="E111" s="6"/>
      <c r="F111" s="24"/>
      <c r="G111" s="25" t="e">
        <f t="shared" si="1"/>
        <v>#DIV/0!</v>
      </c>
    </row>
    <row r="112" spans="1:7" x14ac:dyDescent="0.35">
      <c r="A112" s="6"/>
      <c r="B112" s="6"/>
      <c r="C112" s="6"/>
      <c r="D112" s="4"/>
      <c r="E112" s="6"/>
      <c r="F112" s="24"/>
      <c r="G112" s="25" t="e">
        <f t="shared" si="1"/>
        <v>#DIV/0!</v>
      </c>
    </row>
    <row r="113" spans="1:7" x14ac:dyDescent="0.35">
      <c r="A113" s="6"/>
      <c r="B113" s="6"/>
      <c r="C113" s="6"/>
      <c r="D113" s="4"/>
      <c r="E113" s="6"/>
      <c r="F113" s="24"/>
      <c r="G113" s="25" t="e">
        <f t="shared" si="1"/>
        <v>#DIV/0!</v>
      </c>
    </row>
    <row r="114" spans="1:7" x14ac:dyDescent="0.35">
      <c r="A114" s="6"/>
      <c r="B114" s="6"/>
      <c r="C114" s="6"/>
      <c r="D114" s="4"/>
      <c r="E114" s="6"/>
      <c r="F114" s="24"/>
      <c r="G114" s="25" t="e">
        <f t="shared" si="1"/>
        <v>#DIV/0!</v>
      </c>
    </row>
    <row r="115" spans="1:7" x14ac:dyDescent="0.35">
      <c r="A115" s="6"/>
      <c r="B115" s="6"/>
      <c r="C115" s="6"/>
      <c r="D115" s="4"/>
      <c r="E115" s="6"/>
      <c r="F115" s="24"/>
      <c r="G115" s="25" t="e">
        <f t="shared" si="1"/>
        <v>#DIV/0!</v>
      </c>
    </row>
    <row r="116" spans="1:7" x14ac:dyDescent="0.35">
      <c r="A116" s="6"/>
      <c r="B116" s="6"/>
      <c r="C116" s="6"/>
      <c r="D116" s="4"/>
      <c r="E116" s="6"/>
      <c r="F116" s="24"/>
      <c r="G116" s="25" t="e">
        <f t="shared" si="1"/>
        <v>#DIV/0!</v>
      </c>
    </row>
    <row r="117" spans="1:7" x14ac:dyDescent="0.35">
      <c r="A117" s="6"/>
      <c r="B117" s="6"/>
      <c r="C117" s="6"/>
      <c r="D117" s="4"/>
      <c r="E117" s="6"/>
      <c r="F117" s="24"/>
      <c r="G117" s="25" t="e">
        <f t="shared" si="1"/>
        <v>#DIV/0!</v>
      </c>
    </row>
    <row r="118" spans="1:7" x14ac:dyDescent="0.35">
      <c r="A118" s="6"/>
      <c r="B118" s="6"/>
      <c r="C118" s="6"/>
      <c r="D118" s="4"/>
      <c r="E118" s="6"/>
      <c r="F118" s="24"/>
      <c r="G118" s="25" t="e">
        <f t="shared" si="1"/>
        <v>#DIV/0!</v>
      </c>
    </row>
    <row r="119" spans="1:7" x14ac:dyDescent="0.35">
      <c r="A119" s="6"/>
      <c r="B119" s="6"/>
      <c r="C119" s="6"/>
      <c r="D119" s="4"/>
      <c r="E119" s="6"/>
      <c r="F119" s="24"/>
      <c r="G119" s="25" t="e">
        <f t="shared" si="1"/>
        <v>#DIV/0!</v>
      </c>
    </row>
    <row r="120" spans="1:7" x14ac:dyDescent="0.35">
      <c r="A120" s="6"/>
      <c r="B120" s="6"/>
      <c r="C120" s="6"/>
      <c r="D120" s="4"/>
      <c r="E120" s="6"/>
      <c r="F120" s="24"/>
      <c r="G120" s="25" t="e">
        <f t="shared" si="1"/>
        <v>#DIV/0!</v>
      </c>
    </row>
    <row r="121" spans="1:7" x14ac:dyDescent="0.35">
      <c r="A121" s="6"/>
      <c r="B121" s="6"/>
      <c r="C121" s="6"/>
      <c r="D121" s="4"/>
      <c r="E121" s="6"/>
      <c r="F121" s="24"/>
      <c r="G121" s="25" t="e">
        <f t="shared" si="1"/>
        <v>#DIV/0!</v>
      </c>
    </row>
    <row r="122" spans="1:7" x14ac:dyDescent="0.35">
      <c r="A122" s="6"/>
      <c r="B122" s="6"/>
      <c r="C122" s="6"/>
      <c r="D122" s="4"/>
      <c r="E122" s="6"/>
      <c r="F122" s="24"/>
      <c r="G122" s="25" t="e">
        <f t="shared" si="1"/>
        <v>#DIV/0!</v>
      </c>
    </row>
    <row r="123" spans="1:7" x14ac:dyDescent="0.35">
      <c r="A123" s="6"/>
      <c r="B123" s="6"/>
      <c r="C123" s="6"/>
      <c r="D123" s="4"/>
      <c r="E123" s="6"/>
      <c r="F123" s="24"/>
      <c r="G123" s="25" t="e">
        <f t="shared" si="1"/>
        <v>#DIV/0!</v>
      </c>
    </row>
    <row r="124" spans="1:7" x14ac:dyDescent="0.35">
      <c r="A124" s="6"/>
      <c r="B124" s="6"/>
      <c r="C124" s="6"/>
      <c r="D124" s="4"/>
      <c r="E124" s="6"/>
      <c r="F124" s="24"/>
      <c r="G124" s="25" t="e">
        <f t="shared" si="1"/>
        <v>#DIV/0!</v>
      </c>
    </row>
    <row r="125" spans="1:7" x14ac:dyDescent="0.35">
      <c r="A125" s="6"/>
      <c r="B125" s="6"/>
      <c r="C125" s="6"/>
      <c r="D125" s="4"/>
      <c r="E125" s="6"/>
      <c r="F125" s="24"/>
      <c r="G125" s="25" t="e">
        <f t="shared" si="1"/>
        <v>#DIV/0!</v>
      </c>
    </row>
    <row r="126" spans="1:7" x14ac:dyDescent="0.35">
      <c r="A126" s="6"/>
      <c r="B126" s="6"/>
      <c r="C126" s="6"/>
      <c r="D126" s="4"/>
      <c r="E126" s="6"/>
      <c r="F126" s="24"/>
      <c r="G126" s="25" t="e">
        <f t="shared" si="1"/>
        <v>#DIV/0!</v>
      </c>
    </row>
    <row r="127" spans="1:7" x14ac:dyDescent="0.35">
      <c r="A127" s="6"/>
      <c r="B127" s="6"/>
      <c r="C127" s="6"/>
      <c r="D127" s="4"/>
      <c r="E127" s="6"/>
      <c r="F127" s="24"/>
      <c r="G127" s="25" t="e">
        <f t="shared" si="1"/>
        <v>#DIV/0!</v>
      </c>
    </row>
    <row r="128" spans="1:7" x14ac:dyDescent="0.35">
      <c r="A128" s="6"/>
      <c r="B128" s="6"/>
      <c r="C128" s="6"/>
      <c r="D128" s="4"/>
      <c r="E128" s="6"/>
      <c r="F128" s="24"/>
      <c r="G128" s="25" t="e">
        <f t="shared" si="1"/>
        <v>#DIV/0!</v>
      </c>
    </row>
    <row r="129" spans="1:7" x14ac:dyDescent="0.35">
      <c r="A129" s="6"/>
      <c r="B129" s="6"/>
      <c r="C129" s="6"/>
      <c r="D129" s="4"/>
      <c r="E129" s="6"/>
      <c r="F129" s="24"/>
      <c r="G129" s="25" t="e">
        <f t="shared" si="1"/>
        <v>#DIV/0!</v>
      </c>
    </row>
  </sheetData>
  <mergeCells count="2">
    <mergeCell ref="A1:G1"/>
    <mergeCell ref="I3:J3"/>
  </mergeCells>
  <conditionalFormatting sqref="G4:G129">
    <cfRule type="cellIs" dxfId="1" priority="1" operator="lessThan">
      <formula>61</formula>
    </cfRule>
    <cfRule type="cellIs" dxfId="0" priority="2" operator="greaterThan">
      <formula>60</formula>
    </cfRule>
  </conditionalFormatting>
  <dataValidations count="1">
    <dataValidation type="list" allowBlank="1" showInputMessage="1" showErrorMessage="1" sqref="A4:A257" xr:uid="{52340225-3093-45FE-BB8D-858FA45A5814}">
      <formula1>$I$4:$I$15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5C2B-9A34-4649-A77A-4B651D37A673}">
  <dimension ref="A1:L216"/>
  <sheetViews>
    <sheetView workbookViewId="0">
      <selection activeCell="L13" sqref="L13"/>
    </sheetView>
  </sheetViews>
  <sheetFormatPr defaultRowHeight="14.5" x14ac:dyDescent="0.35"/>
  <cols>
    <col min="3" max="3" width="15.6328125" style="28" customWidth="1"/>
    <col min="4" max="4" width="25.6328125" customWidth="1"/>
    <col min="6" max="7" width="15.6328125" customWidth="1"/>
    <col min="8" max="8" width="20.6328125" style="2" customWidth="1"/>
    <col min="10" max="10" width="15.6328125" customWidth="1"/>
    <col min="11" max="11" width="25.6328125" customWidth="1"/>
  </cols>
  <sheetData>
    <row r="1" spans="1:11" ht="16" x14ac:dyDescent="0.4">
      <c r="A1" s="41" t="s">
        <v>66</v>
      </c>
      <c r="B1" s="41"/>
      <c r="C1" s="41"/>
      <c r="D1" s="41"/>
      <c r="E1" s="41"/>
      <c r="F1" s="41"/>
      <c r="G1" s="41"/>
      <c r="H1" s="41"/>
    </row>
    <row r="3" spans="1:11" ht="16" x14ac:dyDescent="0.4">
      <c r="A3" s="3" t="s">
        <v>15</v>
      </c>
      <c r="B3" s="3" t="s">
        <v>50</v>
      </c>
      <c r="C3" s="21" t="s">
        <v>58</v>
      </c>
      <c r="D3" s="3" t="s">
        <v>69</v>
      </c>
      <c r="E3" s="3" t="s">
        <v>70</v>
      </c>
      <c r="F3" s="3" t="s">
        <v>72</v>
      </c>
      <c r="G3" s="3" t="s">
        <v>71</v>
      </c>
      <c r="H3" s="3" t="s">
        <v>21</v>
      </c>
      <c r="J3" s="39" t="s">
        <v>67</v>
      </c>
      <c r="K3" s="39"/>
    </row>
    <row r="4" spans="1:11" x14ac:dyDescent="0.35">
      <c r="A4" s="6" t="s">
        <v>4</v>
      </c>
      <c r="B4" s="6">
        <v>7</v>
      </c>
      <c r="C4" s="26" t="s">
        <v>61</v>
      </c>
      <c r="D4" s="6">
        <v>500</v>
      </c>
      <c r="E4" s="6">
        <v>2.5</v>
      </c>
      <c r="F4" s="6"/>
      <c r="G4" s="6"/>
      <c r="H4" s="7">
        <f>D4*E4+F4*D4+G4*D4</f>
        <v>1250</v>
      </c>
      <c r="J4" s="10" t="s">
        <v>4</v>
      </c>
      <c r="K4" s="11">
        <f>SUMIF(A4:A200,"JAN",H4:H200)</f>
        <v>2375</v>
      </c>
    </row>
    <row r="5" spans="1:11" x14ac:dyDescent="0.35">
      <c r="A5" s="6" t="s">
        <v>5</v>
      </c>
      <c r="B5" s="6">
        <v>13</v>
      </c>
      <c r="C5" s="26" t="s">
        <v>61</v>
      </c>
      <c r="D5" s="6">
        <v>300</v>
      </c>
      <c r="E5" s="6"/>
      <c r="F5" s="6">
        <v>3.4</v>
      </c>
      <c r="G5" s="6"/>
      <c r="H5" s="7">
        <f t="shared" ref="H5:H68" si="0">D5*E5+F5*D5+G5*D5</f>
        <v>1020</v>
      </c>
      <c r="J5" s="10" t="s">
        <v>5</v>
      </c>
      <c r="K5" s="11">
        <f>SUMIF(A4:A200,"FEB",H4:H200)</f>
        <v>1020</v>
      </c>
    </row>
    <row r="6" spans="1:11" x14ac:dyDescent="0.35">
      <c r="A6" s="6" t="s">
        <v>4</v>
      </c>
      <c r="B6" s="6">
        <v>20</v>
      </c>
      <c r="C6" s="26" t="s">
        <v>34</v>
      </c>
      <c r="D6" s="6">
        <v>25</v>
      </c>
      <c r="E6" s="6"/>
      <c r="F6" s="6"/>
      <c r="G6" s="6">
        <v>45</v>
      </c>
      <c r="H6" s="7">
        <f t="shared" si="0"/>
        <v>1125</v>
      </c>
      <c r="J6" s="10" t="s">
        <v>6</v>
      </c>
      <c r="K6" s="11">
        <f>SUMIF(A4:A200,"MAR",H4:H200)</f>
        <v>0</v>
      </c>
    </row>
    <row r="7" spans="1:11" x14ac:dyDescent="0.35">
      <c r="A7" s="6" t="s">
        <v>32</v>
      </c>
      <c r="B7" s="6">
        <v>30</v>
      </c>
      <c r="C7" s="26" t="s">
        <v>36</v>
      </c>
      <c r="D7" s="6">
        <v>1500</v>
      </c>
      <c r="E7" s="6">
        <v>5.2</v>
      </c>
      <c r="F7" s="6"/>
      <c r="G7" s="6"/>
      <c r="H7" s="7">
        <f t="shared" si="0"/>
        <v>7800</v>
      </c>
      <c r="J7" s="10" t="s">
        <v>7</v>
      </c>
      <c r="K7" s="11">
        <f>SUMIF(A4:A200,"APR",H4:H200)</f>
        <v>0</v>
      </c>
    </row>
    <row r="8" spans="1:11" x14ac:dyDescent="0.35">
      <c r="A8" s="6" t="s">
        <v>24</v>
      </c>
      <c r="B8" s="6">
        <v>10</v>
      </c>
      <c r="C8" s="26" t="s">
        <v>28</v>
      </c>
      <c r="D8" s="6">
        <v>1700</v>
      </c>
      <c r="E8" s="6">
        <v>2.2999999999999998</v>
      </c>
      <c r="F8" s="6"/>
      <c r="G8" s="6"/>
      <c r="H8" s="7">
        <f t="shared" si="0"/>
        <v>3909.9999999999995</v>
      </c>
      <c r="J8" s="10" t="s">
        <v>24</v>
      </c>
      <c r="K8" s="11">
        <f>SUMIF(A4:A200,"MAY",H4:H200)</f>
        <v>31800</v>
      </c>
    </row>
    <row r="9" spans="1:11" x14ac:dyDescent="0.35">
      <c r="A9" s="6" t="s">
        <v>24</v>
      </c>
      <c r="B9" s="6">
        <v>2</v>
      </c>
      <c r="C9" s="26" t="s">
        <v>61</v>
      </c>
      <c r="D9" s="6">
        <v>4000</v>
      </c>
      <c r="E9" s="6">
        <v>4.5</v>
      </c>
      <c r="F9" s="6"/>
      <c r="G9" s="6"/>
      <c r="H9" s="7">
        <f t="shared" si="0"/>
        <v>18000</v>
      </c>
      <c r="J9" s="10" t="s">
        <v>32</v>
      </c>
      <c r="K9" s="11">
        <f>SUMIF(A4:A200,"JUNE",H4:H200)</f>
        <v>7800</v>
      </c>
    </row>
    <row r="10" spans="1:11" x14ac:dyDescent="0.35">
      <c r="A10" s="6" t="s">
        <v>33</v>
      </c>
      <c r="B10" s="6">
        <v>3</v>
      </c>
      <c r="C10" s="26" t="s">
        <v>36</v>
      </c>
      <c r="D10" s="6">
        <v>3500</v>
      </c>
      <c r="E10" s="6">
        <v>5.5</v>
      </c>
      <c r="F10" s="6"/>
      <c r="G10" s="6"/>
      <c r="H10" s="7">
        <f t="shared" si="0"/>
        <v>19250</v>
      </c>
      <c r="J10" s="10" t="s">
        <v>33</v>
      </c>
      <c r="K10" s="11">
        <f>SUMIF(A4:A200,"JULY",H4:H200)</f>
        <v>19250</v>
      </c>
    </row>
    <row r="11" spans="1:11" x14ac:dyDescent="0.35">
      <c r="A11" s="6" t="s">
        <v>24</v>
      </c>
      <c r="B11" s="6">
        <v>13</v>
      </c>
      <c r="C11" s="26" t="s">
        <v>36</v>
      </c>
      <c r="D11" s="6">
        <v>2300</v>
      </c>
      <c r="E11" s="6">
        <v>4.3</v>
      </c>
      <c r="F11" s="6"/>
      <c r="G11" s="6"/>
      <c r="H11" s="7">
        <f t="shared" si="0"/>
        <v>9890</v>
      </c>
      <c r="J11" s="10" t="s">
        <v>8</v>
      </c>
      <c r="K11" s="11">
        <f>SUMIF(A4:A200,"AUG",H4:H200)</f>
        <v>0</v>
      </c>
    </row>
    <row r="12" spans="1:11" x14ac:dyDescent="0.35">
      <c r="A12" s="6" t="s">
        <v>11</v>
      </c>
      <c r="B12" s="6">
        <v>15</v>
      </c>
      <c r="C12" s="26" t="s">
        <v>68</v>
      </c>
      <c r="D12" s="6">
        <v>1200</v>
      </c>
      <c r="E12" s="6"/>
      <c r="F12" s="6"/>
      <c r="G12" s="6">
        <v>2.2000000000000002</v>
      </c>
      <c r="H12" s="7">
        <f t="shared" si="0"/>
        <v>2640</v>
      </c>
      <c r="J12" s="10" t="s">
        <v>9</v>
      </c>
      <c r="K12" s="11">
        <f>SUMIF(A4:A200,"SEPT",H4:H200)</f>
        <v>0</v>
      </c>
    </row>
    <row r="13" spans="1:11" x14ac:dyDescent="0.35">
      <c r="A13" s="6"/>
      <c r="B13" s="6"/>
      <c r="C13" s="26"/>
      <c r="D13" s="6"/>
      <c r="E13" s="6"/>
      <c r="F13" s="6"/>
      <c r="G13" s="6"/>
      <c r="H13" s="7">
        <f t="shared" si="0"/>
        <v>0</v>
      </c>
      <c r="J13" s="10" t="s">
        <v>31</v>
      </c>
      <c r="K13" s="11">
        <f>SUMIF(A4:A200,"OCT",H4:H200)</f>
        <v>0</v>
      </c>
    </row>
    <row r="14" spans="1:11" x14ac:dyDescent="0.35">
      <c r="A14" s="6"/>
      <c r="B14" s="6"/>
      <c r="C14" s="26"/>
      <c r="D14" s="6"/>
      <c r="E14" s="6"/>
      <c r="F14" s="6"/>
      <c r="G14" s="6"/>
      <c r="H14" s="7">
        <f t="shared" si="0"/>
        <v>0</v>
      </c>
      <c r="J14" s="10" t="s">
        <v>10</v>
      </c>
      <c r="K14" s="11">
        <f>SUMIF(A4:A200,"NOV",H4:H200)</f>
        <v>0</v>
      </c>
    </row>
    <row r="15" spans="1:11" x14ac:dyDescent="0.35">
      <c r="A15" s="6"/>
      <c r="B15" s="6"/>
      <c r="C15" s="26"/>
      <c r="D15" s="6"/>
      <c r="E15" s="6"/>
      <c r="F15" s="6"/>
      <c r="G15" s="6"/>
      <c r="H15" s="7">
        <f t="shared" si="0"/>
        <v>0</v>
      </c>
      <c r="J15" s="12" t="s">
        <v>11</v>
      </c>
      <c r="K15" s="13">
        <f>SUMIF(A4:A200,"DEC",H4:H200)</f>
        <v>2640</v>
      </c>
    </row>
    <row r="16" spans="1:11" x14ac:dyDescent="0.35">
      <c r="A16" s="6"/>
      <c r="B16" s="6"/>
      <c r="C16" s="26"/>
      <c r="D16" s="6"/>
      <c r="E16" s="6"/>
      <c r="F16" s="6"/>
      <c r="G16" s="6"/>
      <c r="H16" s="7">
        <f t="shared" si="0"/>
        <v>0</v>
      </c>
    </row>
    <row r="17" spans="1:12" ht="16" x14ac:dyDescent="0.4">
      <c r="A17" s="6"/>
      <c r="B17" s="6"/>
      <c r="C17" s="26"/>
      <c r="D17" s="6"/>
      <c r="E17" s="6"/>
      <c r="F17" s="6"/>
      <c r="G17" s="6"/>
      <c r="H17" s="7">
        <f t="shared" si="0"/>
        <v>0</v>
      </c>
      <c r="J17" s="17" t="s">
        <v>73</v>
      </c>
      <c r="K17" s="18">
        <f>SUM(K4:K15)</f>
        <v>64885</v>
      </c>
    </row>
    <row r="18" spans="1:12" x14ac:dyDescent="0.35">
      <c r="A18" s="6"/>
      <c r="B18" s="6"/>
      <c r="C18" s="26"/>
      <c r="D18" s="6"/>
      <c r="E18" s="6"/>
      <c r="F18" s="6"/>
      <c r="G18" s="6"/>
      <c r="H18" s="7">
        <f t="shared" si="0"/>
        <v>0</v>
      </c>
      <c r="J18" s="16" t="s">
        <v>12</v>
      </c>
      <c r="K18" s="1">
        <f>MAX(K4:K15)</f>
        <v>31800</v>
      </c>
      <c r="L18" t="str">
        <f>_xlfn.XLOOKUP(K18,K4:K15,J4:J15)</f>
        <v>MAY</v>
      </c>
    </row>
    <row r="19" spans="1:12" x14ac:dyDescent="0.35">
      <c r="A19" s="6"/>
      <c r="B19" s="6"/>
      <c r="C19" s="26"/>
      <c r="D19" s="6"/>
      <c r="E19" s="6"/>
      <c r="F19" s="6"/>
      <c r="G19" s="6"/>
      <c r="H19" s="7">
        <f t="shared" si="0"/>
        <v>0</v>
      </c>
      <c r="J19" s="16" t="s">
        <v>13</v>
      </c>
      <c r="K19" s="1">
        <f>MIN(K4:K15)</f>
        <v>0</v>
      </c>
      <c r="L19" t="str">
        <f>_xlfn.XLOOKUP(K19,K4:K15,J4:J15)</f>
        <v>MAR</v>
      </c>
    </row>
    <row r="20" spans="1:12" x14ac:dyDescent="0.35">
      <c r="A20" s="6"/>
      <c r="B20" s="6"/>
      <c r="C20" s="26"/>
      <c r="D20" s="6"/>
      <c r="E20" s="6"/>
      <c r="F20" s="6"/>
      <c r="G20" s="6"/>
      <c r="H20" s="7">
        <f t="shared" si="0"/>
        <v>0</v>
      </c>
      <c r="J20" s="16" t="s">
        <v>74</v>
      </c>
      <c r="K20" s="1">
        <f>AVERAGE(K4:K15)</f>
        <v>5407.083333333333</v>
      </c>
    </row>
    <row r="21" spans="1:12" x14ac:dyDescent="0.35">
      <c r="A21" s="6"/>
      <c r="B21" s="6"/>
      <c r="C21" s="26"/>
      <c r="D21" s="6"/>
      <c r="E21" s="6"/>
      <c r="F21" s="6"/>
      <c r="G21" s="6"/>
      <c r="H21" s="7">
        <f t="shared" si="0"/>
        <v>0</v>
      </c>
    </row>
    <row r="22" spans="1:12" x14ac:dyDescent="0.35">
      <c r="A22" s="6"/>
      <c r="B22" s="6"/>
      <c r="C22" s="26"/>
      <c r="D22" s="6"/>
      <c r="E22" s="6"/>
      <c r="F22" s="6"/>
      <c r="G22" s="6"/>
      <c r="H22" s="7">
        <f t="shared" si="0"/>
        <v>0</v>
      </c>
    </row>
    <row r="23" spans="1:12" x14ac:dyDescent="0.35">
      <c r="A23" s="6"/>
      <c r="B23" s="6"/>
      <c r="C23" s="26"/>
      <c r="D23" s="6"/>
      <c r="E23" s="6"/>
      <c r="F23" s="6"/>
      <c r="G23" s="6"/>
      <c r="H23" s="7">
        <f t="shared" si="0"/>
        <v>0</v>
      </c>
    </row>
    <row r="24" spans="1:12" x14ac:dyDescent="0.35">
      <c r="A24" s="6"/>
      <c r="B24" s="6"/>
      <c r="C24" s="26"/>
      <c r="D24" s="6"/>
      <c r="E24" s="6"/>
      <c r="F24" s="6"/>
      <c r="G24" s="6"/>
      <c r="H24" s="7">
        <f t="shared" si="0"/>
        <v>0</v>
      </c>
    </row>
    <row r="25" spans="1:12" x14ac:dyDescent="0.35">
      <c r="A25" s="6"/>
      <c r="B25" s="6"/>
      <c r="C25" s="26"/>
      <c r="D25" s="6"/>
      <c r="E25" s="6"/>
      <c r="F25" s="6"/>
      <c r="G25" s="6"/>
      <c r="H25" s="7">
        <f t="shared" si="0"/>
        <v>0</v>
      </c>
    </row>
    <row r="26" spans="1:12" x14ac:dyDescent="0.35">
      <c r="A26" s="6"/>
      <c r="B26" s="6"/>
      <c r="C26" s="26"/>
      <c r="D26" s="6"/>
      <c r="E26" s="6"/>
      <c r="F26" s="6"/>
      <c r="G26" s="6"/>
      <c r="H26" s="7">
        <f t="shared" si="0"/>
        <v>0</v>
      </c>
    </row>
    <row r="27" spans="1:12" x14ac:dyDescent="0.35">
      <c r="A27" s="6"/>
      <c r="B27" s="6"/>
      <c r="C27" s="26"/>
      <c r="D27" s="6"/>
      <c r="E27" s="6"/>
      <c r="F27" s="6"/>
      <c r="G27" s="6"/>
      <c r="H27" s="7">
        <f t="shared" si="0"/>
        <v>0</v>
      </c>
    </row>
    <row r="28" spans="1:12" x14ac:dyDescent="0.35">
      <c r="A28" s="6"/>
      <c r="B28" s="6"/>
      <c r="C28" s="26"/>
      <c r="D28" s="6"/>
      <c r="E28" s="6"/>
      <c r="F28" s="6"/>
      <c r="G28" s="6"/>
      <c r="H28" s="7">
        <f t="shared" si="0"/>
        <v>0</v>
      </c>
    </row>
    <row r="29" spans="1:12" x14ac:dyDescent="0.35">
      <c r="A29" s="6"/>
      <c r="B29" s="6"/>
      <c r="C29" s="26"/>
      <c r="D29" s="6"/>
      <c r="E29" s="6"/>
      <c r="F29" s="6"/>
      <c r="G29" s="6"/>
      <c r="H29" s="7">
        <f t="shared" si="0"/>
        <v>0</v>
      </c>
    </row>
    <row r="30" spans="1:12" x14ac:dyDescent="0.35">
      <c r="A30" s="6"/>
      <c r="B30" s="6"/>
      <c r="C30" s="26"/>
      <c r="D30" s="6"/>
      <c r="E30" s="6"/>
      <c r="F30" s="6"/>
      <c r="G30" s="6"/>
      <c r="H30" s="7">
        <f t="shared" si="0"/>
        <v>0</v>
      </c>
    </row>
    <row r="31" spans="1:12" x14ac:dyDescent="0.35">
      <c r="A31" s="6"/>
      <c r="B31" s="6"/>
      <c r="C31" s="26"/>
      <c r="D31" s="6"/>
      <c r="E31" s="6"/>
      <c r="F31" s="6"/>
      <c r="G31" s="6"/>
      <c r="H31" s="7">
        <f t="shared" si="0"/>
        <v>0</v>
      </c>
    </row>
    <row r="32" spans="1:12" x14ac:dyDescent="0.35">
      <c r="A32" s="6"/>
      <c r="B32" s="6"/>
      <c r="C32" s="26"/>
      <c r="D32" s="6"/>
      <c r="E32" s="6"/>
      <c r="F32" s="6"/>
      <c r="G32" s="6"/>
      <c r="H32" s="7">
        <f t="shared" si="0"/>
        <v>0</v>
      </c>
    </row>
    <row r="33" spans="1:8" x14ac:dyDescent="0.35">
      <c r="A33" s="6"/>
      <c r="B33" s="6"/>
      <c r="C33" s="26"/>
      <c r="D33" s="6"/>
      <c r="E33" s="6"/>
      <c r="F33" s="6"/>
      <c r="G33" s="6"/>
      <c r="H33" s="7">
        <f t="shared" si="0"/>
        <v>0</v>
      </c>
    </row>
    <row r="34" spans="1:8" x14ac:dyDescent="0.35">
      <c r="A34" s="6"/>
      <c r="B34" s="6"/>
      <c r="C34" s="26"/>
      <c r="D34" s="6"/>
      <c r="E34" s="6"/>
      <c r="F34" s="6"/>
      <c r="G34" s="6"/>
      <c r="H34" s="7">
        <f t="shared" si="0"/>
        <v>0</v>
      </c>
    </row>
    <row r="35" spans="1:8" x14ac:dyDescent="0.35">
      <c r="A35" s="6"/>
      <c r="B35" s="6"/>
      <c r="C35" s="26"/>
      <c r="D35" s="6"/>
      <c r="E35" s="6"/>
      <c r="F35" s="6"/>
      <c r="G35" s="6"/>
      <c r="H35" s="7">
        <f t="shared" si="0"/>
        <v>0</v>
      </c>
    </row>
    <row r="36" spans="1:8" x14ac:dyDescent="0.35">
      <c r="A36" s="6"/>
      <c r="B36" s="6"/>
      <c r="C36" s="26"/>
      <c r="D36" s="6"/>
      <c r="E36" s="6"/>
      <c r="F36" s="6"/>
      <c r="G36" s="6"/>
      <c r="H36" s="7">
        <f t="shared" si="0"/>
        <v>0</v>
      </c>
    </row>
    <row r="37" spans="1:8" x14ac:dyDescent="0.35">
      <c r="A37" s="6"/>
      <c r="B37" s="6"/>
      <c r="C37" s="26"/>
      <c r="D37" s="6"/>
      <c r="E37" s="6"/>
      <c r="F37" s="6"/>
      <c r="G37" s="6"/>
      <c r="H37" s="7">
        <f t="shared" si="0"/>
        <v>0</v>
      </c>
    </row>
    <row r="38" spans="1:8" x14ac:dyDescent="0.35">
      <c r="A38" s="6"/>
      <c r="B38" s="6"/>
      <c r="C38" s="26"/>
      <c r="D38" s="6"/>
      <c r="E38" s="6"/>
      <c r="F38" s="6"/>
      <c r="G38" s="6"/>
      <c r="H38" s="7">
        <f t="shared" si="0"/>
        <v>0</v>
      </c>
    </row>
    <row r="39" spans="1:8" x14ac:dyDescent="0.35">
      <c r="A39" s="6"/>
      <c r="B39" s="6"/>
      <c r="C39" s="26"/>
      <c r="D39" s="6"/>
      <c r="E39" s="6"/>
      <c r="F39" s="6"/>
      <c r="G39" s="6"/>
      <c r="H39" s="7">
        <f t="shared" si="0"/>
        <v>0</v>
      </c>
    </row>
    <row r="40" spans="1:8" x14ac:dyDescent="0.35">
      <c r="A40" s="6"/>
      <c r="B40" s="6"/>
      <c r="C40" s="26"/>
      <c r="D40" s="6"/>
      <c r="E40" s="6"/>
      <c r="F40" s="6"/>
      <c r="G40" s="6"/>
      <c r="H40" s="7">
        <f t="shared" si="0"/>
        <v>0</v>
      </c>
    </row>
    <row r="41" spans="1:8" x14ac:dyDescent="0.35">
      <c r="A41" s="6"/>
      <c r="B41" s="6"/>
      <c r="C41" s="26"/>
      <c r="D41" s="6"/>
      <c r="E41" s="6"/>
      <c r="F41" s="6"/>
      <c r="G41" s="6"/>
      <c r="H41" s="7">
        <f t="shared" si="0"/>
        <v>0</v>
      </c>
    </row>
    <row r="42" spans="1:8" x14ac:dyDescent="0.35">
      <c r="A42" s="6"/>
      <c r="B42" s="6"/>
      <c r="C42" s="26"/>
      <c r="D42" s="6"/>
      <c r="E42" s="6"/>
      <c r="F42" s="6"/>
      <c r="G42" s="6"/>
      <c r="H42" s="7">
        <f t="shared" si="0"/>
        <v>0</v>
      </c>
    </row>
    <row r="43" spans="1:8" x14ac:dyDescent="0.35">
      <c r="A43" s="6"/>
      <c r="B43" s="6"/>
      <c r="C43" s="26"/>
      <c r="D43" s="6"/>
      <c r="E43" s="6"/>
      <c r="F43" s="6"/>
      <c r="G43" s="6"/>
      <c r="H43" s="7">
        <f t="shared" si="0"/>
        <v>0</v>
      </c>
    </row>
    <row r="44" spans="1:8" x14ac:dyDescent="0.35">
      <c r="A44" s="6"/>
      <c r="B44" s="6"/>
      <c r="C44" s="26"/>
      <c r="D44" s="6"/>
      <c r="E44" s="6"/>
      <c r="F44" s="6"/>
      <c r="G44" s="6"/>
      <c r="H44" s="7">
        <f t="shared" si="0"/>
        <v>0</v>
      </c>
    </row>
    <row r="45" spans="1:8" x14ac:dyDescent="0.35">
      <c r="A45" s="6"/>
      <c r="B45" s="6"/>
      <c r="C45" s="26"/>
      <c r="D45" s="6"/>
      <c r="E45" s="6"/>
      <c r="F45" s="6"/>
      <c r="G45" s="6"/>
      <c r="H45" s="7">
        <f t="shared" si="0"/>
        <v>0</v>
      </c>
    </row>
    <row r="46" spans="1:8" x14ac:dyDescent="0.35">
      <c r="A46" s="6"/>
      <c r="B46" s="6"/>
      <c r="C46" s="26"/>
      <c r="D46" s="6"/>
      <c r="E46" s="6"/>
      <c r="F46" s="6"/>
      <c r="G46" s="6"/>
      <c r="H46" s="7">
        <f t="shared" si="0"/>
        <v>0</v>
      </c>
    </row>
    <row r="47" spans="1:8" x14ac:dyDescent="0.35">
      <c r="A47" s="6"/>
      <c r="B47" s="6"/>
      <c r="C47" s="26"/>
      <c r="D47" s="6"/>
      <c r="E47" s="6"/>
      <c r="F47" s="6"/>
      <c r="G47" s="6"/>
      <c r="H47" s="7">
        <f t="shared" si="0"/>
        <v>0</v>
      </c>
    </row>
    <row r="48" spans="1:8" x14ac:dyDescent="0.35">
      <c r="A48" s="6"/>
      <c r="B48" s="6"/>
      <c r="C48" s="26"/>
      <c r="D48" s="6"/>
      <c r="E48" s="6"/>
      <c r="F48" s="6"/>
      <c r="G48" s="6"/>
      <c r="H48" s="7">
        <f t="shared" si="0"/>
        <v>0</v>
      </c>
    </row>
    <row r="49" spans="1:8" x14ac:dyDescent="0.35">
      <c r="A49" s="6"/>
      <c r="B49" s="6"/>
      <c r="C49" s="26"/>
      <c r="D49" s="6"/>
      <c r="E49" s="6"/>
      <c r="F49" s="6"/>
      <c r="G49" s="6"/>
      <c r="H49" s="7">
        <f t="shared" si="0"/>
        <v>0</v>
      </c>
    </row>
    <row r="50" spans="1:8" x14ac:dyDescent="0.35">
      <c r="A50" s="6"/>
      <c r="B50" s="6"/>
      <c r="C50" s="26"/>
      <c r="D50" s="6"/>
      <c r="E50" s="6"/>
      <c r="F50" s="6"/>
      <c r="G50" s="6"/>
      <c r="H50" s="7">
        <f t="shared" si="0"/>
        <v>0</v>
      </c>
    </row>
    <row r="51" spans="1:8" x14ac:dyDescent="0.35">
      <c r="A51" s="6"/>
      <c r="B51" s="6"/>
      <c r="C51" s="26"/>
      <c r="D51" s="6"/>
      <c r="E51" s="6"/>
      <c r="F51" s="6"/>
      <c r="G51" s="6"/>
      <c r="H51" s="7">
        <f t="shared" si="0"/>
        <v>0</v>
      </c>
    </row>
    <row r="52" spans="1:8" x14ac:dyDescent="0.35">
      <c r="A52" s="6"/>
      <c r="B52" s="6"/>
      <c r="C52" s="26"/>
      <c r="D52" s="6"/>
      <c r="E52" s="6"/>
      <c r="F52" s="6"/>
      <c r="G52" s="6"/>
      <c r="H52" s="7">
        <f t="shared" si="0"/>
        <v>0</v>
      </c>
    </row>
    <row r="53" spans="1:8" x14ac:dyDescent="0.35">
      <c r="A53" s="6"/>
      <c r="B53" s="6"/>
      <c r="C53" s="26"/>
      <c r="D53" s="6"/>
      <c r="E53" s="6"/>
      <c r="F53" s="6"/>
      <c r="G53" s="6"/>
      <c r="H53" s="7">
        <f t="shared" si="0"/>
        <v>0</v>
      </c>
    </row>
    <row r="54" spans="1:8" x14ac:dyDescent="0.35">
      <c r="A54" s="6"/>
      <c r="B54" s="6"/>
      <c r="C54" s="26"/>
      <c r="D54" s="6"/>
      <c r="E54" s="6"/>
      <c r="F54" s="6"/>
      <c r="G54" s="6"/>
      <c r="H54" s="7">
        <f t="shared" si="0"/>
        <v>0</v>
      </c>
    </row>
    <row r="55" spans="1:8" x14ac:dyDescent="0.35">
      <c r="A55" s="6"/>
      <c r="B55" s="6"/>
      <c r="C55" s="26"/>
      <c r="D55" s="6"/>
      <c r="E55" s="6"/>
      <c r="F55" s="6"/>
      <c r="G55" s="6"/>
      <c r="H55" s="7">
        <f t="shared" si="0"/>
        <v>0</v>
      </c>
    </row>
    <row r="56" spans="1:8" x14ac:dyDescent="0.35">
      <c r="A56" s="6"/>
      <c r="B56" s="6"/>
      <c r="C56" s="26"/>
      <c r="D56" s="6"/>
      <c r="E56" s="6"/>
      <c r="F56" s="6"/>
      <c r="G56" s="6"/>
      <c r="H56" s="7">
        <f t="shared" si="0"/>
        <v>0</v>
      </c>
    </row>
    <row r="57" spans="1:8" x14ac:dyDescent="0.35">
      <c r="A57" s="6"/>
      <c r="B57" s="6"/>
      <c r="C57" s="26"/>
      <c r="D57" s="6"/>
      <c r="E57" s="6"/>
      <c r="F57" s="6"/>
      <c r="G57" s="6"/>
      <c r="H57" s="7">
        <f t="shared" si="0"/>
        <v>0</v>
      </c>
    </row>
    <row r="58" spans="1:8" x14ac:dyDescent="0.35">
      <c r="A58" s="6"/>
      <c r="B58" s="6"/>
      <c r="C58" s="26"/>
      <c r="D58" s="6"/>
      <c r="E58" s="6"/>
      <c r="F58" s="6"/>
      <c r="G58" s="6"/>
      <c r="H58" s="7">
        <f t="shared" si="0"/>
        <v>0</v>
      </c>
    </row>
    <row r="59" spans="1:8" x14ac:dyDescent="0.35">
      <c r="A59" s="6"/>
      <c r="B59" s="6"/>
      <c r="C59" s="26"/>
      <c r="D59" s="6"/>
      <c r="E59" s="6"/>
      <c r="F59" s="6"/>
      <c r="G59" s="6"/>
      <c r="H59" s="7">
        <f t="shared" si="0"/>
        <v>0</v>
      </c>
    </row>
    <row r="60" spans="1:8" x14ac:dyDescent="0.35">
      <c r="A60" s="6"/>
      <c r="B60" s="6"/>
      <c r="C60" s="26"/>
      <c r="D60" s="6"/>
      <c r="E60" s="6"/>
      <c r="F60" s="6"/>
      <c r="G60" s="6"/>
      <c r="H60" s="7">
        <f t="shared" si="0"/>
        <v>0</v>
      </c>
    </row>
    <row r="61" spans="1:8" x14ac:dyDescent="0.35">
      <c r="A61" s="6"/>
      <c r="B61" s="6"/>
      <c r="C61" s="26"/>
      <c r="D61" s="6"/>
      <c r="E61" s="6"/>
      <c r="F61" s="6"/>
      <c r="G61" s="6"/>
      <c r="H61" s="7">
        <f t="shared" si="0"/>
        <v>0</v>
      </c>
    </row>
    <row r="62" spans="1:8" x14ac:dyDescent="0.35">
      <c r="A62" s="6"/>
      <c r="B62" s="6"/>
      <c r="C62" s="26"/>
      <c r="D62" s="6"/>
      <c r="E62" s="6"/>
      <c r="F62" s="6"/>
      <c r="G62" s="6"/>
      <c r="H62" s="7">
        <f t="shared" si="0"/>
        <v>0</v>
      </c>
    </row>
    <row r="63" spans="1:8" x14ac:dyDescent="0.35">
      <c r="A63" s="6"/>
      <c r="B63" s="6"/>
      <c r="C63" s="26"/>
      <c r="D63" s="6"/>
      <c r="E63" s="6"/>
      <c r="F63" s="6"/>
      <c r="G63" s="6"/>
      <c r="H63" s="7">
        <f t="shared" si="0"/>
        <v>0</v>
      </c>
    </row>
    <row r="64" spans="1:8" x14ac:dyDescent="0.35">
      <c r="A64" s="6"/>
      <c r="B64" s="6"/>
      <c r="C64" s="26"/>
      <c r="D64" s="6"/>
      <c r="E64" s="6"/>
      <c r="F64" s="6"/>
      <c r="G64" s="6"/>
      <c r="H64" s="7">
        <f t="shared" si="0"/>
        <v>0</v>
      </c>
    </row>
    <row r="65" spans="1:8" x14ac:dyDescent="0.35">
      <c r="A65" s="6"/>
      <c r="B65" s="6"/>
      <c r="C65" s="26"/>
      <c r="D65" s="6"/>
      <c r="E65" s="6"/>
      <c r="F65" s="6"/>
      <c r="G65" s="6"/>
      <c r="H65" s="7">
        <f t="shared" si="0"/>
        <v>0</v>
      </c>
    </row>
    <row r="66" spans="1:8" x14ac:dyDescent="0.35">
      <c r="A66" s="6"/>
      <c r="B66" s="6"/>
      <c r="C66" s="26"/>
      <c r="D66" s="6"/>
      <c r="E66" s="6"/>
      <c r="F66" s="6"/>
      <c r="G66" s="6"/>
      <c r="H66" s="7">
        <f t="shared" si="0"/>
        <v>0</v>
      </c>
    </row>
    <row r="67" spans="1:8" x14ac:dyDescent="0.35">
      <c r="A67" s="6"/>
      <c r="B67" s="6"/>
      <c r="C67" s="26"/>
      <c r="D67" s="6"/>
      <c r="E67" s="6"/>
      <c r="F67" s="6"/>
      <c r="G67" s="6"/>
      <c r="H67" s="7">
        <f t="shared" si="0"/>
        <v>0</v>
      </c>
    </row>
    <row r="68" spans="1:8" x14ac:dyDescent="0.35">
      <c r="A68" s="6"/>
      <c r="B68" s="6"/>
      <c r="C68" s="26"/>
      <c r="D68" s="6"/>
      <c r="E68" s="6"/>
      <c r="F68" s="6"/>
      <c r="G68" s="6"/>
      <c r="H68" s="7">
        <f t="shared" si="0"/>
        <v>0</v>
      </c>
    </row>
    <row r="69" spans="1:8" x14ac:dyDescent="0.35">
      <c r="A69" s="6"/>
      <c r="B69" s="6"/>
      <c r="C69" s="26"/>
      <c r="D69" s="6"/>
      <c r="E69" s="6"/>
      <c r="F69" s="6"/>
      <c r="G69" s="6"/>
      <c r="H69" s="7">
        <f t="shared" ref="H69:H132" si="1">D69*E69+F69*D69+G69*D69</f>
        <v>0</v>
      </c>
    </row>
    <row r="70" spans="1:8" x14ac:dyDescent="0.35">
      <c r="A70" s="6"/>
      <c r="B70" s="6"/>
      <c r="C70" s="26"/>
      <c r="D70" s="6"/>
      <c r="E70" s="6"/>
      <c r="F70" s="6"/>
      <c r="G70" s="6"/>
      <c r="H70" s="7">
        <f t="shared" si="1"/>
        <v>0</v>
      </c>
    </row>
    <row r="71" spans="1:8" x14ac:dyDescent="0.35">
      <c r="A71" s="6"/>
      <c r="B71" s="6"/>
      <c r="C71" s="26"/>
      <c r="D71" s="6"/>
      <c r="E71" s="6"/>
      <c r="F71" s="6"/>
      <c r="G71" s="6"/>
      <c r="H71" s="7">
        <f t="shared" si="1"/>
        <v>0</v>
      </c>
    </row>
    <row r="72" spans="1:8" x14ac:dyDescent="0.35">
      <c r="A72" s="6"/>
      <c r="B72" s="6"/>
      <c r="C72" s="26"/>
      <c r="D72" s="6"/>
      <c r="E72" s="6"/>
      <c r="F72" s="6"/>
      <c r="G72" s="6"/>
      <c r="H72" s="7">
        <f t="shared" si="1"/>
        <v>0</v>
      </c>
    </row>
    <row r="73" spans="1:8" x14ac:dyDescent="0.35">
      <c r="A73" s="6"/>
      <c r="B73" s="6"/>
      <c r="C73" s="26"/>
      <c r="D73" s="6"/>
      <c r="E73" s="6"/>
      <c r="F73" s="6"/>
      <c r="G73" s="6"/>
      <c r="H73" s="7">
        <f t="shared" si="1"/>
        <v>0</v>
      </c>
    </row>
    <row r="74" spans="1:8" x14ac:dyDescent="0.35">
      <c r="A74" s="6"/>
      <c r="B74" s="6"/>
      <c r="C74" s="26"/>
      <c r="D74" s="6"/>
      <c r="E74" s="6"/>
      <c r="F74" s="6"/>
      <c r="G74" s="6"/>
      <c r="H74" s="7">
        <f t="shared" si="1"/>
        <v>0</v>
      </c>
    </row>
    <row r="75" spans="1:8" x14ac:dyDescent="0.35">
      <c r="A75" s="6"/>
      <c r="B75" s="6"/>
      <c r="C75" s="26"/>
      <c r="D75" s="6"/>
      <c r="E75" s="6"/>
      <c r="F75" s="6"/>
      <c r="G75" s="6"/>
      <c r="H75" s="7">
        <f t="shared" si="1"/>
        <v>0</v>
      </c>
    </row>
    <row r="76" spans="1:8" x14ac:dyDescent="0.35">
      <c r="A76" s="6"/>
      <c r="B76" s="6"/>
      <c r="C76" s="26"/>
      <c r="D76" s="6"/>
      <c r="E76" s="6"/>
      <c r="F76" s="6"/>
      <c r="G76" s="6"/>
      <c r="H76" s="7">
        <f t="shared" si="1"/>
        <v>0</v>
      </c>
    </row>
    <row r="77" spans="1:8" x14ac:dyDescent="0.35">
      <c r="A77" s="6"/>
      <c r="B77" s="6"/>
      <c r="C77" s="26"/>
      <c r="D77" s="6"/>
      <c r="E77" s="6"/>
      <c r="F77" s="6"/>
      <c r="G77" s="6"/>
      <c r="H77" s="7">
        <f t="shared" si="1"/>
        <v>0</v>
      </c>
    </row>
    <row r="78" spans="1:8" x14ac:dyDescent="0.35">
      <c r="A78" s="6"/>
      <c r="B78" s="6"/>
      <c r="C78" s="26"/>
      <c r="D78" s="6"/>
      <c r="E78" s="6"/>
      <c r="F78" s="6"/>
      <c r="G78" s="6"/>
      <c r="H78" s="7">
        <f t="shared" si="1"/>
        <v>0</v>
      </c>
    </row>
    <row r="79" spans="1:8" x14ac:dyDescent="0.35">
      <c r="A79" s="6"/>
      <c r="B79" s="6"/>
      <c r="C79" s="26"/>
      <c r="D79" s="6"/>
      <c r="E79" s="6"/>
      <c r="F79" s="6"/>
      <c r="G79" s="6"/>
      <c r="H79" s="7">
        <f t="shared" si="1"/>
        <v>0</v>
      </c>
    </row>
    <row r="80" spans="1:8" x14ac:dyDescent="0.35">
      <c r="A80" s="6"/>
      <c r="B80" s="6"/>
      <c r="C80" s="26"/>
      <c r="D80" s="6"/>
      <c r="E80" s="6"/>
      <c r="F80" s="6"/>
      <c r="G80" s="6"/>
      <c r="H80" s="7">
        <f t="shared" si="1"/>
        <v>0</v>
      </c>
    </row>
    <row r="81" spans="1:8" x14ac:dyDescent="0.35">
      <c r="A81" s="6"/>
      <c r="B81" s="6"/>
      <c r="C81" s="26"/>
      <c r="D81" s="6"/>
      <c r="E81" s="6"/>
      <c r="F81" s="6"/>
      <c r="G81" s="6"/>
      <c r="H81" s="7">
        <f t="shared" si="1"/>
        <v>0</v>
      </c>
    </row>
    <row r="82" spans="1:8" x14ac:dyDescent="0.35">
      <c r="A82" s="6"/>
      <c r="B82" s="6"/>
      <c r="C82" s="26"/>
      <c r="D82" s="6"/>
      <c r="E82" s="6"/>
      <c r="F82" s="6"/>
      <c r="G82" s="6"/>
      <c r="H82" s="7">
        <f t="shared" si="1"/>
        <v>0</v>
      </c>
    </row>
    <row r="83" spans="1:8" x14ac:dyDescent="0.35">
      <c r="A83" s="6"/>
      <c r="B83" s="6"/>
      <c r="C83" s="26"/>
      <c r="D83" s="6"/>
      <c r="E83" s="6"/>
      <c r="F83" s="6"/>
      <c r="G83" s="6"/>
      <c r="H83" s="7">
        <f t="shared" si="1"/>
        <v>0</v>
      </c>
    </row>
    <row r="84" spans="1:8" x14ac:dyDescent="0.35">
      <c r="A84" s="6"/>
      <c r="B84" s="6"/>
      <c r="C84" s="26"/>
      <c r="D84" s="6"/>
      <c r="E84" s="6"/>
      <c r="F84" s="6"/>
      <c r="G84" s="6"/>
      <c r="H84" s="7">
        <f t="shared" si="1"/>
        <v>0</v>
      </c>
    </row>
    <row r="85" spans="1:8" x14ac:dyDescent="0.35">
      <c r="A85" s="6"/>
      <c r="B85" s="6"/>
      <c r="C85" s="26"/>
      <c r="D85" s="6"/>
      <c r="E85" s="6"/>
      <c r="F85" s="6"/>
      <c r="G85" s="6"/>
      <c r="H85" s="7">
        <f t="shared" si="1"/>
        <v>0</v>
      </c>
    </row>
    <row r="86" spans="1:8" x14ac:dyDescent="0.35">
      <c r="A86" s="6"/>
      <c r="B86" s="6"/>
      <c r="C86" s="26"/>
      <c r="D86" s="6"/>
      <c r="E86" s="6"/>
      <c r="F86" s="6"/>
      <c r="G86" s="6"/>
      <c r="H86" s="7">
        <f t="shared" si="1"/>
        <v>0</v>
      </c>
    </row>
    <row r="87" spans="1:8" x14ac:dyDescent="0.35">
      <c r="A87" s="6"/>
      <c r="B87" s="6"/>
      <c r="C87" s="26"/>
      <c r="D87" s="6"/>
      <c r="E87" s="6"/>
      <c r="F87" s="6"/>
      <c r="G87" s="6"/>
      <c r="H87" s="7">
        <f t="shared" si="1"/>
        <v>0</v>
      </c>
    </row>
    <row r="88" spans="1:8" x14ac:dyDescent="0.35">
      <c r="A88" s="6"/>
      <c r="B88" s="6"/>
      <c r="C88" s="26"/>
      <c r="D88" s="6"/>
      <c r="E88" s="6"/>
      <c r="F88" s="6"/>
      <c r="G88" s="6"/>
      <c r="H88" s="7">
        <f t="shared" si="1"/>
        <v>0</v>
      </c>
    </row>
    <row r="89" spans="1:8" x14ac:dyDescent="0.35">
      <c r="A89" s="6"/>
      <c r="B89" s="6"/>
      <c r="C89" s="26"/>
      <c r="D89" s="6"/>
      <c r="E89" s="6"/>
      <c r="F89" s="6"/>
      <c r="G89" s="6"/>
      <c r="H89" s="7">
        <f t="shared" si="1"/>
        <v>0</v>
      </c>
    </row>
    <row r="90" spans="1:8" x14ac:dyDescent="0.35">
      <c r="A90" s="6"/>
      <c r="B90" s="6"/>
      <c r="C90" s="26"/>
      <c r="D90" s="6"/>
      <c r="E90" s="6"/>
      <c r="F90" s="6"/>
      <c r="G90" s="6"/>
      <c r="H90" s="7">
        <f t="shared" si="1"/>
        <v>0</v>
      </c>
    </row>
    <row r="91" spans="1:8" x14ac:dyDescent="0.35">
      <c r="A91" s="6"/>
      <c r="B91" s="6"/>
      <c r="C91" s="26"/>
      <c r="D91" s="6"/>
      <c r="E91" s="6"/>
      <c r="F91" s="6"/>
      <c r="G91" s="6"/>
      <c r="H91" s="7">
        <f t="shared" si="1"/>
        <v>0</v>
      </c>
    </row>
    <row r="92" spans="1:8" x14ac:dyDescent="0.35">
      <c r="A92" s="6"/>
      <c r="B92" s="6"/>
      <c r="C92" s="26"/>
      <c r="D92" s="6"/>
      <c r="E92" s="6"/>
      <c r="F92" s="6"/>
      <c r="G92" s="6"/>
      <c r="H92" s="7">
        <f t="shared" si="1"/>
        <v>0</v>
      </c>
    </row>
    <row r="93" spans="1:8" x14ac:dyDescent="0.35">
      <c r="A93" s="6"/>
      <c r="B93" s="6"/>
      <c r="C93" s="26"/>
      <c r="D93" s="6"/>
      <c r="E93" s="6"/>
      <c r="F93" s="6"/>
      <c r="G93" s="6"/>
      <c r="H93" s="7">
        <f t="shared" si="1"/>
        <v>0</v>
      </c>
    </row>
    <row r="94" spans="1:8" x14ac:dyDescent="0.35">
      <c r="A94" s="6"/>
      <c r="B94" s="6"/>
      <c r="C94" s="26"/>
      <c r="D94" s="6"/>
      <c r="E94" s="6"/>
      <c r="F94" s="6"/>
      <c r="G94" s="6"/>
      <c r="H94" s="7">
        <f t="shared" si="1"/>
        <v>0</v>
      </c>
    </row>
    <row r="95" spans="1:8" x14ac:dyDescent="0.35">
      <c r="A95" s="6"/>
      <c r="B95" s="6"/>
      <c r="C95" s="26"/>
      <c r="D95" s="6"/>
      <c r="E95" s="6"/>
      <c r="F95" s="6"/>
      <c r="G95" s="6"/>
      <c r="H95" s="7">
        <f t="shared" si="1"/>
        <v>0</v>
      </c>
    </row>
    <row r="96" spans="1:8" x14ac:dyDescent="0.35">
      <c r="A96" s="6"/>
      <c r="B96" s="6"/>
      <c r="C96" s="26"/>
      <c r="D96" s="6"/>
      <c r="E96" s="6"/>
      <c r="F96" s="6"/>
      <c r="G96" s="6"/>
      <c r="H96" s="7">
        <f t="shared" si="1"/>
        <v>0</v>
      </c>
    </row>
    <row r="97" spans="1:8" x14ac:dyDescent="0.35">
      <c r="A97" s="6"/>
      <c r="B97" s="6"/>
      <c r="C97" s="26"/>
      <c r="D97" s="6"/>
      <c r="E97" s="6"/>
      <c r="F97" s="6"/>
      <c r="G97" s="6"/>
      <c r="H97" s="7">
        <f t="shared" si="1"/>
        <v>0</v>
      </c>
    </row>
    <row r="98" spans="1:8" x14ac:dyDescent="0.35">
      <c r="A98" s="6"/>
      <c r="B98" s="6"/>
      <c r="C98" s="26"/>
      <c r="D98" s="6"/>
      <c r="E98" s="6"/>
      <c r="F98" s="6"/>
      <c r="G98" s="6"/>
      <c r="H98" s="7">
        <f t="shared" si="1"/>
        <v>0</v>
      </c>
    </row>
    <row r="99" spans="1:8" x14ac:dyDescent="0.35">
      <c r="A99" s="6"/>
      <c r="B99" s="6"/>
      <c r="C99" s="26"/>
      <c r="D99" s="6"/>
      <c r="E99" s="6"/>
      <c r="F99" s="6"/>
      <c r="G99" s="6"/>
      <c r="H99" s="7">
        <f t="shared" si="1"/>
        <v>0</v>
      </c>
    </row>
    <row r="100" spans="1:8" x14ac:dyDescent="0.35">
      <c r="A100" s="6"/>
      <c r="B100" s="6"/>
      <c r="C100" s="26"/>
      <c r="D100" s="6"/>
      <c r="E100" s="6"/>
      <c r="F100" s="6"/>
      <c r="G100" s="6"/>
      <c r="H100" s="7">
        <f t="shared" si="1"/>
        <v>0</v>
      </c>
    </row>
    <row r="101" spans="1:8" x14ac:dyDescent="0.35">
      <c r="A101" s="6"/>
      <c r="B101" s="6"/>
      <c r="C101" s="26"/>
      <c r="D101" s="6"/>
      <c r="E101" s="6"/>
      <c r="F101" s="6"/>
      <c r="G101" s="6"/>
      <c r="H101" s="7">
        <f t="shared" si="1"/>
        <v>0</v>
      </c>
    </row>
    <row r="102" spans="1:8" x14ac:dyDescent="0.35">
      <c r="A102" s="6"/>
      <c r="B102" s="6"/>
      <c r="C102" s="26"/>
      <c r="D102" s="6"/>
      <c r="E102" s="6"/>
      <c r="F102" s="6"/>
      <c r="G102" s="6"/>
      <c r="H102" s="7">
        <f t="shared" si="1"/>
        <v>0</v>
      </c>
    </row>
    <row r="103" spans="1:8" x14ac:dyDescent="0.35">
      <c r="A103" s="6"/>
      <c r="B103" s="6"/>
      <c r="C103" s="26"/>
      <c r="D103" s="6"/>
      <c r="E103" s="6"/>
      <c r="F103" s="6"/>
      <c r="G103" s="6"/>
      <c r="H103" s="7">
        <f t="shared" si="1"/>
        <v>0</v>
      </c>
    </row>
    <row r="104" spans="1:8" x14ac:dyDescent="0.35">
      <c r="A104" s="6"/>
      <c r="B104" s="6"/>
      <c r="C104" s="26"/>
      <c r="D104" s="6"/>
      <c r="E104" s="6"/>
      <c r="F104" s="6"/>
      <c r="G104" s="6"/>
      <c r="H104" s="7">
        <f t="shared" si="1"/>
        <v>0</v>
      </c>
    </row>
    <row r="105" spans="1:8" x14ac:dyDescent="0.35">
      <c r="A105" s="6"/>
      <c r="B105" s="6"/>
      <c r="C105" s="26"/>
      <c r="D105" s="6"/>
      <c r="E105" s="6"/>
      <c r="F105" s="6"/>
      <c r="G105" s="6"/>
      <c r="H105" s="7">
        <f t="shared" si="1"/>
        <v>0</v>
      </c>
    </row>
    <row r="106" spans="1:8" x14ac:dyDescent="0.35">
      <c r="A106" s="6"/>
      <c r="B106" s="6"/>
      <c r="C106" s="26"/>
      <c r="D106" s="6"/>
      <c r="E106" s="6"/>
      <c r="F106" s="6"/>
      <c r="G106" s="6"/>
      <c r="H106" s="7">
        <f t="shared" si="1"/>
        <v>0</v>
      </c>
    </row>
    <row r="107" spans="1:8" x14ac:dyDescent="0.35">
      <c r="A107" s="6"/>
      <c r="B107" s="6"/>
      <c r="C107" s="26"/>
      <c r="D107" s="6"/>
      <c r="E107" s="6"/>
      <c r="F107" s="6"/>
      <c r="G107" s="6"/>
      <c r="H107" s="7">
        <f t="shared" si="1"/>
        <v>0</v>
      </c>
    </row>
    <row r="108" spans="1:8" x14ac:dyDescent="0.35">
      <c r="A108" s="6"/>
      <c r="B108" s="6"/>
      <c r="C108" s="26"/>
      <c r="D108" s="6"/>
      <c r="E108" s="6"/>
      <c r="F108" s="6"/>
      <c r="G108" s="6"/>
      <c r="H108" s="7">
        <f t="shared" si="1"/>
        <v>0</v>
      </c>
    </row>
    <row r="109" spans="1:8" x14ac:dyDescent="0.35">
      <c r="A109" s="6"/>
      <c r="B109" s="6"/>
      <c r="C109" s="26"/>
      <c r="D109" s="6"/>
      <c r="E109" s="6"/>
      <c r="F109" s="6"/>
      <c r="G109" s="6"/>
      <c r="H109" s="7">
        <f t="shared" si="1"/>
        <v>0</v>
      </c>
    </row>
    <row r="110" spans="1:8" x14ac:dyDescent="0.35">
      <c r="A110" s="6"/>
      <c r="B110" s="6"/>
      <c r="C110" s="26"/>
      <c r="D110" s="6"/>
      <c r="E110" s="6"/>
      <c r="F110" s="6"/>
      <c r="G110" s="6"/>
      <c r="H110" s="7">
        <f t="shared" si="1"/>
        <v>0</v>
      </c>
    </row>
    <row r="111" spans="1:8" x14ac:dyDescent="0.35">
      <c r="A111" s="6"/>
      <c r="B111" s="6"/>
      <c r="C111" s="26"/>
      <c r="D111" s="6"/>
      <c r="E111" s="6"/>
      <c r="F111" s="6"/>
      <c r="G111" s="6"/>
      <c r="H111" s="7">
        <f t="shared" si="1"/>
        <v>0</v>
      </c>
    </row>
    <row r="112" spans="1:8" x14ac:dyDescent="0.35">
      <c r="A112" s="6"/>
      <c r="B112" s="6"/>
      <c r="C112" s="26"/>
      <c r="D112" s="6"/>
      <c r="E112" s="6"/>
      <c r="F112" s="6"/>
      <c r="G112" s="6"/>
      <c r="H112" s="7">
        <f t="shared" si="1"/>
        <v>0</v>
      </c>
    </row>
    <row r="113" spans="1:8" x14ac:dyDescent="0.35">
      <c r="A113" s="6"/>
      <c r="B113" s="6"/>
      <c r="C113" s="26"/>
      <c r="D113" s="6"/>
      <c r="E113" s="6"/>
      <c r="F113" s="6"/>
      <c r="G113" s="6"/>
      <c r="H113" s="7">
        <f t="shared" si="1"/>
        <v>0</v>
      </c>
    </row>
    <row r="114" spans="1:8" x14ac:dyDescent="0.35">
      <c r="A114" s="6"/>
      <c r="B114" s="6"/>
      <c r="C114" s="26"/>
      <c r="D114" s="6"/>
      <c r="E114" s="6"/>
      <c r="F114" s="6"/>
      <c r="G114" s="6"/>
      <c r="H114" s="7">
        <f t="shared" si="1"/>
        <v>0</v>
      </c>
    </row>
    <row r="115" spans="1:8" x14ac:dyDescent="0.35">
      <c r="A115" s="6"/>
      <c r="B115" s="6"/>
      <c r="C115" s="26"/>
      <c r="D115" s="6"/>
      <c r="E115" s="6"/>
      <c r="F115" s="6"/>
      <c r="G115" s="6"/>
      <c r="H115" s="7">
        <f t="shared" si="1"/>
        <v>0</v>
      </c>
    </row>
    <row r="116" spans="1:8" x14ac:dyDescent="0.35">
      <c r="A116" s="6"/>
      <c r="B116" s="6"/>
      <c r="C116" s="26"/>
      <c r="D116" s="6"/>
      <c r="E116" s="6"/>
      <c r="F116" s="6"/>
      <c r="G116" s="6"/>
      <c r="H116" s="7">
        <f t="shared" si="1"/>
        <v>0</v>
      </c>
    </row>
    <row r="117" spans="1:8" x14ac:dyDescent="0.35">
      <c r="A117" s="6"/>
      <c r="B117" s="6"/>
      <c r="C117" s="26"/>
      <c r="D117" s="6"/>
      <c r="E117" s="6"/>
      <c r="F117" s="6"/>
      <c r="G117" s="6"/>
      <c r="H117" s="7">
        <f t="shared" si="1"/>
        <v>0</v>
      </c>
    </row>
    <row r="118" spans="1:8" x14ac:dyDescent="0.35">
      <c r="A118" s="6"/>
      <c r="B118" s="6"/>
      <c r="C118" s="26"/>
      <c r="D118" s="6"/>
      <c r="E118" s="6"/>
      <c r="F118" s="6"/>
      <c r="G118" s="6"/>
      <c r="H118" s="7">
        <f t="shared" si="1"/>
        <v>0</v>
      </c>
    </row>
    <row r="119" spans="1:8" x14ac:dyDescent="0.35">
      <c r="A119" s="6"/>
      <c r="B119" s="6"/>
      <c r="C119" s="26"/>
      <c r="D119" s="6"/>
      <c r="E119" s="6"/>
      <c r="F119" s="6"/>
      <c r="G119" s="6"/>
      <c r="H119" s="7">
        <f t="shared" si="1"/>
        <v>0</v>
      </c>
    </row>
    <row r="120" spans="1:8" x14ac:dyDescent="0.35">
      <c r="A120" s="6"/>
      <c r="B120" s="6"/>
      <c r="C120" s="26"/>
      <c r="D120" s="6"/>
      <c r="E120" s="6"/>
      <c r="F120" s="6"/>
      <c r="G120" s="6"/>
      <c r="H120" s="7">
        <f t="shared" si="1"/>
        <v>0</v>
      </c>
    </row>
    <row r="121" spans="1:8" x14ac:dyDescent="0.35">
      <c r="A121" s="6"/>
      <c r="B121" s="6"/>
      <c r="C121" s="26"/>
      <c r="D121" s="6"/>
      <c r="E121" s="6"/>
      <c r="F121" s="6"/>
      <c r="G121" s="6"/>
      <c r="H121" s="7">
        <f t="shared" si="1"/>
        <v>0</v>
      </c>
    </row>
    <row r="122" spans="1:8" x14ac:dyDescent="0.35">
      <c r="A122" s="6"/>
      <c r="B122" s="6"/>
      <c r="C122" s="26"/>
      <c r="D122" s="6"/>
      <c r="E122" s="6"/>
      <c r="F122" s="6"/>
      <c r="G122" s="6"/>
      <c r="H122" s="7">
        <f t="shared" si="1"/>
        <v>0</v>
      </c>
    </row>
    <row r="123" spans="1:8" x14ac:dyDescent="0.35">
      <c r="A123" s="6"/>
      <c r="B123" s="6"/>
      <c r="C123" s="26"/>
      <c r="D123" s="6"/>
      <c r="E123" s="6"/>
      <c r="F123" s="6"/>
      <c r="G123" s="6"/>
      <c r="H123" s="7">
        <f t="shared" si="1"/>
        <v>0</v>
      </c>
    </row>
    <row r="124" spans="1:8" x14ac:dyDescent="0.35">
      <c r="A124" s="6"/>
      <c r="B124" s="6"/>
      <c r="C124" s="26"/>
      <c r="D124" s="6"/>
      <c r="E124" s="6"/>
      <c r="F124" s="6"/>
      <c r="G124" s="6"/>
      <c r="H124" s="7">
        <f t="shared" si="1"/>
        <v>0</v>
      </c>
    </row>
    <row r="125" spans="1:8" x14ac:dyDescent="0.35">
      <c r="A125" s="6"/>
      <c r="B125" s="6"/>
      <c r="C125" s="26"/>
      <c r="D125" s="6"/>
      <c r="E125" s="6"/>
      <c r="F125" s="6"/>
      <c r="G125" s="6"/>
      <c r="H125" s="7">
        <f t="shared" si="1"/>
        <v>0</v>
      </c>
    </row>
    <row r="126" spans="1:8" x14ac:dyDescent="0.35">
      <c r="A126" s="6"/>
      <c r="B126" s="6"/>
      <c r="C126" s="26"/>
      <c r="D126" s="6"/>
      <c r="E126" s="6"/>
      <c r="F126" s="6"/>
      <c r="G126" s="6"/>
      <c r="H126" s="7">
        <f t="shared" si="1"/>
        <v>0</v>
      </c>
    </row>
    <row r="127" spans="1:8" x14ac:dyDescent="0.35">
      <c r="A127" s="6"/>
      <c r="B127" s="6"/>
      <c r="C127" s="26"/>
      <c r="D127" s="6"/>
      <c r="E127" s="6"/>
      <c r="F127" s="6"/>
      <c r="G127" s="6"/>
      <c r="H127" s="7">
        <f t="shared" si="1"/>
        <v>0</v>
      </c>
    </row>
    <row r="128" spans="1:8" x14ac:dyDescent="0.35">
      <c r="A128" s="6"/>
      <c r="B128" s="6"/>
      <c r="C128" s="26"/>
      <c r="D128" s="6"/>
      <c r="E128" s="6"/>
      <c r="F128" s="6"/>
      <c r="G128" s="6"/>
      <c r="H128" s="7">
        <f t="shared" si="1"/>
        <v>0</v>
      </c>
    </row>
    <row r="129" spans="1:8" x14ac:dyDescent="0.35">
      <c r="A129" s="6"/>
      <c r="B129" s="6"/>
      <c r="C129" s="26"/>
      <c r="D129" s="6"/>
      <c r="E129" s="6"/>
      <c r="F129" s="6"/>
      <c r="G129" s="6"/>
      <c r="H129" s="7">
        <f t="shared" si="1"/>
        <v>0</v>
      </c>
    </row>
    <row r="130" spans="1:8" x14ac:dyDescent="0.35">
      <c r="A130" s="6"/>
      <c r="B130" s="6"/>
      <c r="C130" s="26"/>
      <c r="D130" s="6"/>
      <c r="E130" s="6"/>
      <c r="F130" s="6"/>
      <c r="G130" s="6"/>
      <c r="H130" s="7">
        <f t="shared" si="1"/>
        <v>0</v>
      </c>
    </row>
    <row r="131" spans="1:8" x14ac:dyDescent="0.35">
      <c r="A131" s="6"/>
      <c r="B131" s="6"/>
      <c r="C131" s="26"/>
      <c r="D131" s="6"/>
      <c r="E131" s="6"/>
      <c r="F131" s="6"/>
      <c r="G131" s="6"/>
      <c r="H131" s="7">
        <f t="shared" si="1"/>
        <v>0</v>
      </c>
    </row>
    <row r="132" spans="1:8" x14ac:dyDescent="0.35">
      <c r="A132" s="6"/>
      <c r="B132" s="6"/>
      <c r="C132" s="26"/>
      <c r="D132" s="6"/>
      <c r="E132" s="6"/>
      <c r="F132" s="6"/>
      <c r="G132" s="6"/>
      <c r="H132" s="7">
        <f t="shared" si="1"/>
        <v>0</v>
      </c>
    </row>
    <row r="133" spans="1:8" x14ac:dyDescent="0.35">
      <c r="A133" s="6"/>
      <c r="B133" s="6"/>
      <c r="C133" s="26"/>
      <c r="D133" s="6"/>
      <c r="E133" s="6"/>
      <c r="F133" s="6"/>
      <c r="G133" s="6"/>
      <c r="H133" s="7">
        <f t="shared" ref="H133:H196" si="2">D133*E133+F133*D133+G133*D133</f>
        <v>0</v>
      </c>
    </row>
    <row r="134" spans="1:8" x14ac:dyDescent="0.35">
      <c r="A134" s="6"/>
      <c r="B134" s="6"/>
      <c r="C134" s="26"/>
      <c r="D134" s="6"/>
      <c r="E134" s="6"/>
      <c r="F134" s="6"/>
      <c r="G134" s="6"/>
      <c r="H134" s="7">
        <f t="shared" si="2"/>
        <v>0</v>
      </c>
    </row>
    <row r="135" spans="1:8" x14ac:dyDescent="0.35">
      <c r="A135" s="6"/>
      <c r="B135" s="6"/>
      <c r="C135" s="26"/>
      <c r="D135" s="6"/>
      <c r="E135" s="6"/>
      <c r="F135" s="6"/>
      <c r="G135" s="6"/>
      <c r="H135" s="7">
        <f t="shared" si="2"/>
        <v>0</v>
      </c>
    </row>
    <row r="136" spans="1:8" x14ac:dyDescent="0.35">
      <c r="A136" s="6"/>
      <c r="B136" s="6"/>
      <c r="C136" s="26"/>
      <c r="D136" s="6"/>
      <c r="E136" s="6"/>
      <c r="F136" s="6"/>
      <c r="G136" s="6"/>
      <c r="H136" s="7">
        <f t="shared" si="2"/>
        <v>0</v>
      </c>
    </row>
    <row r="137" spans="1:8" x14ac:dyDescent="0.35">
      <c r="A137" s="6"/>
      <c r="B137" s="6"/>
      <c r="C137" s="26"/>
      <c r="D137" s="6"/>
      <c r="E137" s="6"/>
      <c r="F137" s="6"/>
      <c r="G137" s="6"/>
      <c r="H137" s="7">
        <f t="shared" si="2"/>
        <v>0</v>
      </c>
    </row>
    <row r="138" spans="1:8" x14ac:dyDescent="0.35">
      <c r="A138" s="6"/>
      <c r="B138" s="6"/>
      <c r="C138" s="26"/>
      <c r="D138" s="6"/>
      <c r="E138" s="6"/>
      <c r="F138" s="6"/>
      <c r="G138" s="6"/>
      <c r="H138" s="7">
        <f t="shared" si="2"/>
        <v>0</v>
      </c>
    </row>
    <row r="139" spans="1:8" x14ac:dyDescent="0.35">
      <c r="A139" s="6"/>
      <c r="B139" s="6"/>
      <c r="C139" s="26"/>
      <c r="D139" s="6"/>
      <c r="E139" s="6"/>
      <c r="F139" s="6"/>
      <c r="G139" s="6"/>
      <c r="H139" s="7">
        <f t="shared" si="2"/>
        <v>0</v>
      </c>
    </row>
    <row r="140" spans="1:8" x14ac:dyDescent="0.35">
      <c r="A140" s="6"/>
      <c r="B140" s="6"/>
      <c r="C140" s="26"/>
      <c r="D140" s="6"/>
      <c r="E140" s="6"/>
      <c r="F140" s="6"/>
      <c r="G140" s="6"/>
      <c r="H140" s="7">
        <f t="shared" si="2"/>
        <v>0</v>
      </c>
    </row>
    <row r="141" spans="1:8" x14ac:dyDescent="0.35">
      <c r="A141" s="6"/>
      <c r="B141" s="6"/>
      <c r="C141" s="26"/>
      <c r="D141" s="6"/>
      <c r="E141" s="6"/>
      <c r="F141" s="6"/>
      <c r="G141" s="6"/>
      <c r="H141" s="7">
        <f t="shared" si="2"/>
        <v>0</v>
      </c>
    </row>
    <row r="142" spans="1:8" x14ac:dyDescent="0.35">
      <c r="A142" s="6"/>
      <c r="B142" s="6"/>
      <c r="C142" s="26"/>
      <c r="D142" s="6"/>
      <c r="E142" s="6"/>
      <c r="F142" s="6"/>
      <c r="G142" s="6"/>
      <c r="H142" s="7">
        <f t="shared" si="2"/>
        <v>0</v>
      </c>
    </row>
    <row r="143" spans="1:8" x14ac:dyDescent="0.35">
      <c r="A143" s="6"/>
      <c r="B143" s="6"/>
      <c r="C143" s="26"/>
      <c r="D143" s="6"/>
      <c r="E143" s="6"/>
      <c r="F143" s="6"/>
      <c r="G143" s="6"/>
      <c r="H143" s="7">
        <f t="shared" si="2"/>
        <v>0</v>
      </c>
    </row>
    <row r="144" spans="1:8" x14ac:dyDescent="0.35">
      <c r="A144" s="6"/>
      <c r="B144" s="6"/>
      <c r="C144" s="26"/>
      <c r="D144" s="6"/>
      <c r="E144" s="6"/>
      <c r="F144" s="6"/>
      <c r="G144" s="6"/>
      <c r="H144" s="7">
        <f t="shared" si="2"/>
        <v>0</v>
      </c>
    </row>
    <row r="145" spans="1:8" x14ac:dyDescent="0.35">
      <c r="A145" s="6"/>
      <c r="B145" s="6"/>
      <c r="C145" s="26"/>
      <c r="D145" s="6"/>
      <c r="E145" s="6"/>
      <c r="F145" s="6"/>
      <c r="G145" s="6"/>
      <c r="H145" s="7">
        <f t="shared" si="2"/>
        <v>0</v>
      </c>
    </row>
    <row r="146" spans="1:8" x14ac:dyDescent="0.35">
      <c r="A146" s="6"/>
      <c r="B146" s="6"/>
      <c r="C146" s="26"/>
      <c r="D146" s="6"/>
      <c r="E146" s="6"/>
      <c r="F146" s="6"/>
      <c r="G146" s="6"/>
      <c r="H146" s="7">
        <f t="shared" si="2"/>
        <v>0</v>
      </c>
    </row>
    <row r="147" spans="1:8" x14ac:dyDescent="0.35">
      <c r="A147" s="6"/>
      <c r="B147" s="6"/>
      <c r="C147" s="26"/>
      <c r="D147" s="6"/>
      <c r="E147" s="6"/>
      <c r="F147" s="6"/>
      <c r="G147" s="6"/>
      <c r="H147" s="7">
        <f t="shared" si="2"/>
        <v>0</v>
      </c>
    </row>
    <row r="148" spans="1:8" x14ac:dyDescent="0.35">
      <c r="A148" s="6"/>
      <c r="B148" s="6"/>
      <c r="C148" s="26"/>
      <c r="D148" s="6"/>
      <c r="E148" s="6"/>
      <c r="F148" s="6"/>
      <c r="G148" s="6"/>
      <c r="H148" s="7">
        <f t="shared" si="2"/>
        <v>0</v>
      </c>
    </row>
    <row r="149" spans="1:8" x14ac:dyDescent="0.35">
      <c r="A149" s="6"/>
      <c r="B149" s="6"/>
      <c r="C149" s="26"/>
      <c r="D149" s="6"/>
      <c r="E149" s="6"/>
      <c r="F149" s="6"/>
      <c r="G149" s="6"/>
      <c r="H149" s="7">
        <f t="shared" si="2"/>
        <v>0</v>
      </c>
    </row>
    <row r="150" spans="1:8" x14ac:dyDescent="0.35">
      <c r="A150" s="6"/>
      <c r="B150" s="6"/>
      <c r="C150" s="26"/>
      <c r="D150" s="6"/>
      <c r="E150" s="6"/>
      <c r="F150" s="6"/>
      <c r="G150" s="6"/>
      <c r="H150" s="7">
        <f t="shared" si="2"/>
        <v>0</v>
      </c>
    </row>
    <row r="151" spans="1:8" x14ac:dyDescent="0.35">
      <c r="A151" s="6"/>
      <c r="B151" s="6"/>
      <c r="C151" s="26"/>
      <c r="D151" s="6"/>
      <c r="E151" s="6"/>
      <c r="F151" s="6"/>
      <c r="G151" s="6"/>
      <c r="H151" s="7">
        <f t="shared" si="2"/>
        <v>0</v>
      </c>
    </row>
    <row r="152" spans="1:8" x14ac:dyDescent="0.35">
      <c r="A152" s="6"/>
      <c r="B152" s="6"/>
      <c r="C152" s="26"/>
      <c r="D152" s="6"/>
      <c r="E152" s="6"/>
      <c r="F152" s="6"/>
      <c r="G152" s="6"/>
      <c r="H152" s="7">
        <f t="shared" si="2"/>
        <v>0</v>
      </c>
    </row>
    <row r="153" spans="1:8" x14ac:dyDescent="0.35">
      <c r="A153" s="6"/>
      <c r="B153" s="6"/>
      <c r="C153" s="26"/>
      <c r="D153" s="6"/>
      <c r="E153" s="6"/>
      <c r="F153" s="6"/>
      <c r="G153" s="6"/>
      <c r="H153" s="7">
        <f t="shared" si="2"/>
        <v>0</v>
      </c>
    </row>
    <row r="154" spans="1:8" x14ac:dyDescent="0.35">
      <c r="A154" s="6"/>
      <c r="B154" s="6"/>
      <c r="C154" s="26"/>
      <c r="D154" s="6"/>
      <c r="E154" s="6"/>
      <c r="F154" s="6"/>
      <c r="G154" s="6"/>
      <c r="H154" s="7">
        <f t="shared" si="2"/>
        <v>0</v>
      </c>
    </row>
    <row r="155" spans="1:8" x14ac:dyDescent="0.35">
      <c r="A155" s="6"/>
      <c r="B155" s="6"/>
      <c r="C155" s="26"/>
      <c r="D155" s="6"/>
      <c r="E155" s="6"/>
      <c r="F155" s="6"/>
      <c r="G155" s="6"/>
      <c r="H155" s="7">
        <f t="shared" si="2"/>
        <v>0</v>
      </c>
    </row>
    <row r="156" spans="1:8" x14ac:dyDescent="0.35">
      <c r="A156" s="6"/>
      <c r="B156" s="6"/>
      <c r="C156" s="26"/>
      <c r="D156" s="6"/>
      <c r="E156" s="6"/>
      <c r="F156" s="6"/>
      <c r="G156" s="6"/>
      <c r="H156" s="7">
        <f t="shared" si="2"/>
        <v>0</v>
      </c>
    </row>
    <row r="157" spans="1:8" x14ac:dyDescent="0.35">
      <c r="A157" s="6"/>
      <c r="B157" s="6"/>
      <c r="C157" s="26"/>
      <c r="D157" s="6"/>
      <c r="E157" s="6"/>
      <c r="F157" s="6"/>
      <c r="G157" s="6"/>
      <c r="H157" s="7">
        <f t="shared" si="2"/>
        <v>0</v>
      </c>
    </row>
    <row r="158" spans="1:8" x14ac:dyDescent="0.35">
      <c r="A158" s="6"/>
      <c r="B158" s="6"/>
      <c r="C158" s="26"/>
      <c r="D158" s="6"/>
      <c r="E158" s="6"/>
      <c r="F158" s="6"/>
      <c r="G158" s="6"/>
      <c r="H158" s="7">
        <f t="shared" si="2"/>
        <v>0</v>
      </c>
    </row>
    <row r="159" spans="1:8" x14ac:dyDescent="0.35">
      <c r="A159" s="6"/>
      <c r="B159" s="6"/>
      <c r="C159" s="26"/>
      <c r="D159" s="6"/>
      <c r="E159" s="6"/>
      <c r="F159" s="6"/>
      <c r="G159" s="6"/>
      <c r="H159" s="7">
        <f t="shared" si="2"/>
        <v>0</v>
      </c>
    </row>
    <row r="160" spans="1:8" x14ac:dyDescent="0.35">
      <c r="A160" s="6"/>
      <c r="B160" s="6"/>
      <c r="C160" s="26"/>
      <c r="D160" s="6"/>
      <c r="E160" s="6"/>
      <c r="F160" s="6"/>
      <c r="G160" s="6"/>
      <c r="H160" s="7">
        <f t="shared" si="2"/>
        <v>0</v>
      </c>
    </row>
    <row r="161" spans="1:8" x14ac:dyDescent="0.35">
      <c r="A161" s="6"/>
      <c r="B161" s="6"/>
      <c r="C161" s="26"/>
      <c r="D161" s="6"/>
      <c r="E161" s="6"/>
      <c r="F161" s="6"/>
      <c r="G161" s="6"/>
      <c r="H161" s="7">
        <f t="shared" si="2"/>
        <v>0</v>
      </c>
    </row>
    <row r="162" spans="1:8" x14ac:dyDescent="0.35">
      <c r="A162" s="6"/>
      <c r="B162" s="6"/>
      <c r="C162" s="26"/>
      <c r="D162" s="6"/>
      <c r="E162" s="6"/>
      <c r="F162" s="6"/>
      <c r="G162" s="6"/>
      <c r="H162" s="7">
        <f t="shared" si="2"/>
        <v>0</v>
      </c>
    </row>
    <row r="163" spans="1:8" x14ac:dyDescent="0.35">
      <c r="A163" s="6"/>
      <c r="B163" s="6"/>
      <c r="C163" s="26"/>
      <c r="D163" s="6"/>
      <c r="E163" s="6"/>
      <c r="F163" s="6"/>
      <c r="G163" s="6"/>
      <c r="H163" s="7">
        <f t="shared" si="2"/>
        <v>0</v>
      </c>
    </row>
    <row r="164" spans="1:8" x14ac:dyDescent="0.35">
      <c r="A164" s="6"/>
      <c r="B164" s="6"/>
      <c r="C164" s="26"/>
      <c r="D164" s="6"/>
      <c r="E164" s="6"/>
      <c r="F164" s="6"/>
      <c r="G164" s="6"/>
      <c r="H164" s="7">
        <f t="shared" si="2"/>
        <v>0</v>
      </c>
    </row>
    <row r="165" spans="1:8" x14ac:dyDescent="0.35">
      <c r="A165" s="6"/>
      <c r="B165" s="6"/>
      <c r="C165" s="26"/>
      <c r="D165" s="6"/>
      <c r="E165" s="6"/>
      <c r="F165" s="6"/>
      <c r="G165" s="6"/>
      <c r="H165" s="7">
        <f t="shared" si="2"/>
        <v>0</v>
      </c>
    </row>
    <row r="166" spans="1:8" x14ac:dyDescent="0.35">
      <c r="A166" s="6"/>
      <c r="B166" s="6"/>
      <c r="C166" s="26"/>
      <c r="D166" s="6"/>
      <c r="E166" s="6"/>
      <c r="F166" s="6"/>
      <c r="G166" s="6"/>
      <c r="H166" s="7">
        <f t="shared" si="2"/>
        <v>0</v>
      </c>
    </row>
    <row r="167" spans="1:8" x14ac:dyDescent="0.35">
      <c r="A167" s="6"/>
      <c r="B167" s="6"/>
      <c r="C167" s="26"/>
      <c r="D167" s="6"/>
      <c r="E167" s="6"/>
      <c r="F167" s="6"/>
      <c r="G167" s="6"/>
      <c r="H167" s="7">
        <f t="shared" si="2"/>
        <v>0</v>
      </c>
    </row>
    <row r="168" spans="1:8" x14ac:dyDescent="0.35">
      <c r="A168" s="6"/>
      <c r="B168" s="6"/>
      <c r="C168" s="26"/>
      <c r="D168" s="6"/>
      <c r="E168" s="6"/>
      <c r="F168" s="6"/>
      <c r="G168" s="6"/>
      <c r="H168" s="7">
        <f t="shared" si="2"/>
        <v>0</v>
      </c>
    </row>
    <row r="169" spans="1:8" x14ac:dyDescent="0.35">
      <c r="A169" s="6"/>
      <c r="B169" s="6"/>
      <c r="C169" s="26"/>
      <c r="D169" s="6"/>
      <c r="E169" s="6"/>
      <c r="F169" s="6"/>
      <c r="G169" s="6"/>
      <c r="H169" s="7">
        <f t="shared" si="2"/>
        <v>0</v>
      </c>
    </row>
    <row r="170" spans="1:8" x14ac:dyDescent="0.35">
      <c r="A170" s="6"/>
      <c r="B170" s="6"/>
      <c r="C170" s="26"/>
      <c r="D170" s="6"/>
      <c r="E170" s="6"/>
      <c r="F170" s="6"/>
      <c r="G170" s="6"/>
      <c r="H170" s="7">
        <f t="shared" si="2"/>
        <v>0</v>
      </c>
    </row>
    <row r="171" spans="1:8" x14ac:dyDescent="0.35">
      <c r="A171" s="6"/>
      <c r="B171" s="6"/>
      <c r="C171" s="26"/>
      <c r="D171" s="6"/>
      <c r="E171" s="6"/>
      <c r="F171" s="6"/>
      <c r="G171" s="6"/>
      <c r="H171" s="7">
        <f t="shared" si="2"/>
        <v>0</v>
      </c>
    </row>
    <row r="172" spans="1:8" x14ac:dyDescent="0.35">
      <c r="A172" s="6"/>
      <c r="B172" s="6"/>
      <c r="C172" s="26"/>
      <c r="D172" s="6"/>
      <c r="E172" s="6"/>
      <c r="F172" s="6"/>
      <c r="G172" s="6"/>
      <c r="H172" s="7">
        <f t="shared" si="2"/>
        <v>0</v>
      </c>
    </row>
    <row r="173" spans="1:8" x14ac:dyDescent="0.35">
      <c r="A173" s="6"/>
      <c r="B173" s="6"/>
      <c r="C173" s="26"/>
      <c r="D173" s="6"/>
      <c r="E173" s="6"/>
      <c r="F173" s="6"/>
      <c r="G173" s="6"/>
      <c r="H173" s="7">
        <f t="shared" si="2"/>
        <v>0</v>
      </c>
    </row>
    <row r="174" spans="1:8" x14ac:dyDescent="0.35">
      <c r="A174" s="6"/>
      <c r="B174" s="6"/>
      <c r="C174" s="26"/>
      <c r="D174" s="6"/>
      <c r="E174" s="6"/>
      <c r="F174" s="6"/>
      <c r="G174" s="6"/>
      <c r="H174" s="7">
        <f t="shared" si="2"/>
        <v>0</v>
      </c>
    </row>
    <row r="175" spans="1:8" x14ac:dyDescent="0.35">
      <c r="A175" s="6"/>
      <c r="B175" s="6"/>
      <c r="C175" s="26"/>
      <c r="D175" s="6"/>
      <c r="E175" s="6"/>
      <c r="F175" s="6"/>
      <c r="G175" s="6"/>
      <c r="H175" s="7">
        <f t="shared" si="2"/>
        <v>0</v>
      </c>
    </row>
    <row r="176" spans="1:8" x14ac:dyDescent="0.35">
      <c r="A176" s="6"/>
      <c r="B176" s="6"/>
      <c r="C176" s="26"/>
      <c r="D176" s="6"/>
      <c r="E176" s="6"/>
      <c r="F176" s="6"/>
      <c r="G176" s="6"/>
      <c r="H176" s="7">
        <f t="shared" si="2"/>
        <v>0</v>
      </c>
    </row>
    <row r="177" spans="1:8" x14ac:dyDescent="0.35">
      <c r="A177" s="6"/>
      <c r="B177" s="6"/>
      <c r="C177" s="26"/>
      <c r="D177" s="6"/>
      <c r="E177" s="6"/>
      <c r="F177" s="6"/>
      <c r="G177" s="6"/>
      <c r="H177" s="7">
        <f t="shared" si="2"/>
        <v>0</v>
      </c>
    </row>
    <row r="178" spans="1:8" x14ac:dyDescent="0.35">
      <c r="A178" s="6"/>
      <c r="B178" s="6"/>
      <c r="C178" s="26"/>
      <c r="D178" s="6"/>
      <c r="E178" s="6"/>
      <c r="F178" s="6"/>
      <c r="G178" s="6"/>
      <c r="H178" s="7">
        <f t="shared" si="2"/>
        <v>0</v>
      </c>
    </row>
    <row r="179" spans="1:8" x14ac:dyDescent="0.35">
      <c r="A179" s="6"/>
      <c r="B179" s="6"/>
      <c r="C179" s="26"/>
      <c r="D179" s="6"/>
      <c r="E179" s="6"/>
      <c r="F179" s="6"/>
      <c r="G179" s="6"/>
      <c r="H179" s="7">
        <f t="shared" si="2"/>
        <v>0</v>
      </c>
    </row>
    <row r="180" spans="1:8" x14ac:dyDescent="0.35">
      <c r="A180" s="6"/>
      <c r="B180" s="6"/>
      <c r="C180" s="26"/>
      <c r="D180" s="6"/>
      <c r="E180" s="6"/>
      <c r="F180" s="6"/>
      <c r="G180" s="6"/>
      <c r="H180" s="7">
        <f t="shared" si="2"/>
        <v>0</v>
      </c>
    </row>
    <row r="181" spans="1:8" x14ac:dyDescent="0.35">
      <c r="A181" s="6"/>
      <c r="B181" s="6"/>
      <c r="C181" s="26"/>
      <c r="D181" s="6"/>
      <c r="E181" s="6"/>
      <c r="F181" s="6"/>
      <c r="G181" s="6"/>
      <c r="H181" s="7">
        <f t="shared" si="2"/>
        <v>0</v>
      </c>
    </row>
    <row r="182" spans="1:8" x14ac:dyDescent="0.35">
      <c r="A182" s="6"/>
      <c r="B182" s="6"/>
      <c r="C182" s="26"/>
      <c r="D182" s="6"/>
      <c r="E182" s="6"/>
      <c r="F182" s="6"/>
      <c r="G182" s="6"/>
      <c r="H182" s="7">
        <f t="shared" si="2"/>
        <v>0</v>
      </c>
    </row>
    <row r="183" spans="1:8" x14ac:dyDescent="0.35">
      <c r="A183" s="6"/>
      <c r="B183" s="6"/>
      <c r="C183" s="26"/>
      <c r="D183" s="6"/>
      <c r="E183" s="6"/>
      <c r="F183" s="6"/>
      <c r="G183" s="6"/>
      <c r="H183" s="7">
        <f t="shared" si="2"/>
        <v>0</v>
      </c>
    </row>
    <row r="184" spans="1:8" x14ac:dyDescent="0.35">
      <c r="A184" s="6"/>
      <c r="B184" s="6"/>
      <c r="C184" s="26"/>
      <c r="D184" s="6"/>
      <c r="E184" s="6"/>
      <c r="F184" s="6"/>
      <c r="G184" s="6"/>
      <c r="H184" s="7">
        <f t="shared" si="2"/>
        <v>0</v>
      </c>
    </row>
    <row r="185" spans="1:8" x14ac:dyDescent="0.35">
      <c r="A185" s="6"/>
      <c r="B185" s="6"/>
      <c r="C185" s="26"/>
      <c r="D185" s="6"/>
      <c r="E185" s="6"/>
      <c r="F185" s="6"/>
      <c r="G185" s="6"/>
      <c r="H185" s="7">
        <f t="shared" si="2"/>
        <v>0</v>
      </c>
    </row>
    <row r="186" spans="1:8" x14ac:dyDescent="0.35">
      <c r="A186" s="6"/>
      <c r="B186" s="6"/>
      <c r="C186" s="26"/>
      <c r="D186" s="6"/>
      <c r="E186" s="6"/>
      <c r="F186" s="6"/>
      <c r="G186" s="6"/>
      <c r="H186" s="7">
        <f t="shared" si="2"/>
        <v>0</v>
      </c>
    </row>
    <row r="187" spans="1:8" x14ac:dyDescent="0.35">
      <c r="A187" s="6"/>
      <c r="B187" s="6"/>
      <c r="C187" s="26"/>
      <c r="D187" s="6"/>
      <c r="E187" s="6"/>
      <c r="F187" s="6"/>
      <c r="G187" s="6"/>
      <c r="H187" s="7">
        <f t="shared" si="2"/>
        <v>0</v>
      </c>
    </row>
    <row r="188" spans="1:8" x14ac:dyDescent="0.35">
      <c r="A188" s="6"/>
      <c r="B188" s="6"/>
      <c r="C188" s="26"/>
      <c r="D188" s="6"/>
      <c r="E188" s="6"/>
      <c r="F188" s="6"/>
      <c r="G188" s="6"/>
      <c r="H188" s="7">
        <f t="shared" si="2"/>
        <v>0</v>
      </c>
    </row>
    <row r="189" spans="1:8" x14ac:dyDescent="0.35">
      <c r="A189" s="6"/>
      <c r="B189" s="6"/>
      <c r="C189" s="26"/>
      <c r="D189" s="6"/>
      <c r="E189" s="6"/>
      <c r="F189" s="6"/>
      <c r="G189" s="6"/>
      <c r="H189" s="7">
        <f t="shared" si="2"/>
        <v>0</v>
      </c>
    </row>
    <row r="190" spans="1:8" x14ac:dyDescent="0.35">
      <c r="A190" s="6"/>
      <c r="B190" s="6"/>
      <c r="C190" s="26"/>
      <c r="D190" s="6"/>
      <c r="E190" s="6"/>
      <c r="F190" s="6"/>
      <c r="G190" s="6"/>
      <c r="H190" s="7">
        <f t="shared" si="2"/>
        <v>0</v>
      </c>
    </row>
    <row r="191" spans="1:8" x14ac:dyDescent="0.35">
      <c r="A191" s="6"/>
      <c r="B191" s="6"/>
      <c r="C191" s="26"/>
      <c r="D191" s="6"/>
      <c r="E191" s="6"/>
      <c r="F191" s="6"/>
      <c r="G191" s="6"/>
      <c r="H191" s="7">
        <f t="shared" si="2"/>
        <v>0</v>
      </c>
    </row>
    <row r="192" spans="1:8" x14ac:dyDescent="0.35">
      <c r="A192" s="6"/>
      <c r="B192" s="6"/>
      <c r="C192" s="26"/>
      <c r="D192" s="6"/>
      <c r="E192" s="6"/>
      <c r="F192" s="6"/>
      <c r="G192" s="6"/>
      <c r="H192" s="7">
        <f t="shared" si="2"/>
        <v>0</v>
      </c>
    </row>
    <row r="193" spans="1:8" x14ac:dyDescent="0.35">
      <c r="A193" s="6"/>
      <c r="B193" s="6"/>
      <c r="C193" s="26"/>
      <c r="D193" s="6"/>
      <c r="E193" s="6"/>
      <c r="F193" s="6"/>
      <c r="G193" s="6"/>
      <c r="H193" s="7">
        <f t="shared" si="2"/>
        <v>0</v>
      </c>
    </row>
    <row r="194" spans="1:8" x14ac:dyDescent="0.35">
      <c r="A194" s="6"/>
      <c r="B194" s="6"/>
      <c r="C194" s="26"/>
      <c r="D194" s="6"/>
      <c r="E194" s="6"/>
      <c r="F194" s="6"/>
      <c r="G194" s="6"/>
      <c r="H194" s="7">
        <f t="shared" si="2"/>
        <v>0</v>
      </c>
    </row>
    <row r="195" spans="1:8" x14ac:dyDescent="0.35">
      <c r="A195" s="6"/>
      <c r="B195" s="6"/>
      <c r="C195" s="26"/>
      <c r="D195" s="6"/>
      <c r="E195" s="6"/>
      <c r="F195" s="6"/>
      <c r="G195" s="6"/>
      <c r="H195" s="7">
        <f t="shared" si="2"/>
        <v>0</v>
      </c>
    </row>
    <row r="196" spans="1:8" x14ac:dyDescent="0.35">
      <c r="A196" s="6"/>
      <c r="B196" s="6"/>
      <c r="C196" s="26"/>
      <c r="D196" s="6"/>
      <c r="E196" s="6"/>
      <c r="F196" s="6"/>
      <c r="G196" s="6"/>
      <c r="H196" s="7">
        <f t="shared" si="2"/>
        <v>0</v>
      </c>
    </row>
    <row r="197" spans="1:8" x14ac:dyDescent="0.35">
      <c r="A197" s="6"/>
      <c r="B197" s="6"/>
      <c r="C197" s="26"/>
      <c r="D197" s="6"/>
      <c r="E197" s="6"/>
      <c r="F197" s="6"/>
      <c r="G197" s="6"/>
      <c r="H197" s="7">
        <f t="shared" ref="H197:H204" si="3">D197*E197+F197*D197+G197*D197</f>
        <v>0</v>
      </c>
    </row>
    <row r="198" spans="1:8" x14ac:dyDescent="0.35">
      <c r="A198" s="6"/>
      <c r="B198" s="6"/>
      <c r="C198" s="26"/>
      <c r="D198" s="6"/>
      <c r="E198" s="6"/>
      <c r="F198" s="6"/>
      <c r="G198" s="6"/>
      <c r="H198" s="7">
        <f t="shared" si="3"/>
        <v>0</v>
      </c>
    </row>
    <row r="199" spans="1:8" x14ac:dyDescent="0.35">
      <c r="A199" s="6"/>
      <c r="B199" s="6"/>
      <c r="C199" s="26"/>
      <c r="D199" s="6"/>
      <c r="E199" s="6"/>
      <c r="F199" s="6"/>
      <c r="G199" s="6"/>
      <c r="H199" s="7">
        <f t="shared" si="3"/>
        <v>0</v>
      </c>
    </row>
    <row r="200" spans="1:8" x14ac:dyDescent="0.35">
      <c r="A200" s="6"/>
      <c r="B200" s="6"/>
      <c r="C200" s="26"/>
      <c r="D200" s="6"/>
      <c r="E200" s="6"/>
      <c r="F200" s="6"/>
      <c r="G200" s="6"/>
      <c r="H200" s="7">
        <f t="shared" si="3"/>
        <v>0</v>
      </c>
    </row>
    <row r="201" spans="1:8" x14ac:dyDescent="0.35">
      <c r="A201" s="6"/>
      <c r="B201" s="6"/>
      <c r="C201" s="27"/>
      <c r="D201" s="6"/>
      <c r="E201" s="6"/>
      <c r="F201" s="6"/>
      <c r="G201" s="6"/>
      <c r="H201" s="7">
        <f t="shared" si="3"/>
        <v>0</v>
      </c>
    </row>
    <row r="202" spans="1:8" x14ac:dyDescent="0.35">
      <c r="A202" s="6"/>
      <c r="B202" s="6"/>
      <c r="C202" s="27"/>
      <c r="D202" s="6"/>
      <c r="E202" s="6"/>
      <c r="F202" s="6"/>
      <c r="G202" s="6"/>
      <c r="H202" s="7">
        <f t="shared" si="3"/>
        <v>0</v>
      </c>
    </row>
    <row r="203" spans="1:8" x14ac:dyDescent="0.35">
      <c r="A203" s="6"/>
      <c r="B203" s="6"/>
      <c r="C203" s="27"/>
      <c r="D203" s="6"/>
      <c r="E203" s="6"/>
      <c r="F203" s="6"/>
      <c r="G203" s="6"/>
      <c r="H203" s="7">
        <f t="shared" si="3"/>
        <v>0</v>
      </c>
    </row>
    <row r="204" spans="1:8" x14ac:dyDescent="0.35">
      <c r="A204" s="6"/>
      <c r="B204" s="6"/>
      <c r="C204" s="27"/>
      <c r="D204" s="6"/>
      <c r="E204" s="6"/>
      <c r="F204" s="6"/>
      <c r="G204" s="6"/>
      <c r="H204" s="7">
        <f t="shared" si="3"/>
        <v>0</v>
      </c>
    </row>
    <row r="205" spans="1:8" x14ac:dyDescent="0.35">
      <c r="H205" s="18"/>
    </row>
    <row r="206" spans="1:8" x14ac:dyDescent="0.35">
      <c r="H206" s="18"/>
    </row>
    <row r="207" spans="1:8" x14ac:dyDescent="0.35">
      <c r="H207" s="18"/>
    </row>
    <row r="208" spans="1:8" x14ac:dyDescent="0.35">
      <c r="H208" s="18"/>
    </row>
    <row r="209" spans="8:8" x14ac:dyDescent="0.35">
      <c r="H209" s="18"/>
    </row>
    <row r="210" spans="8:8" x14ac:dyDescent="0.35">
      <c r="H210" s="18"/>
    </row>
    <row r="211" spans="8:8" x14ac:dyDescent="0.35">
      <c r="H211" s="18"/>
    </row>
    <row r="212" spans="8:8" x14ac:dyDescent="0.35">
      <c r="H212" s="18"/>
    </row>
    <row r="213" spans="8:8" x14ac:dyDescent="0.35">
      <c r="H213" s="18"/>
    </row>
    <row r="214" spans="8:8" x14ac:dyDescent="0.35">
      <c r="H214" s="18"/>
    </row>
    <row r="215" spans="8:8" x14ac:dyDescent="0.35">
      <c r="H215" s="18"/>
    </row>
    <row r="216" spans="8:8" x14ac:dyDescent="0.35">
      <c r="H216" s="18"/>
    </row>
  </sheetData>
  <mergeCells count="2">
    <mergeCell ref="J3:K3"/>
    <mergeCell ref="A1:H1"/>
  </mergeCells>
  <dataValidations count="1">
    <dataValidation type="list" allowBlank="1" showInputMessage="1" showErrorMessage="1" sqref="A4:A200" xr:uid="{FD168B4E-F177-4B7A-A980-94CFD7A16DFA}">
      <formula1>$J$4:$J$15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comparison</vt:lpstr>
      <vt:lpstr>SUMMARY</vt:lpstr>
      <vt:lpstr>seeds</vt:lpstr>
      <vt:lpstr>insecticides</vt:lpstr>
      <vt:lpstr>workers</vt:lpstr>
      <vt:lpstr>logistics</vt:lpstr>
      <vt:lpstr>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Lorincz Greta</dc:creator>
  <cp:lastModifiedBy>Lorincz Greta</cp:lastModifiedBy>
  <dcterms:created xsi:type="dcterms:W3CDTF">2026-02-09T14:24:33Z</dcterms:created>
  <dcterms:modified xsi:type="dcterms:W3CDTF">2026-02-10T16:28:55Z</dcterms:modified>
</cp:coreProperties>
</file>